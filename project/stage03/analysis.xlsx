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3.xml" ContentType="application/vnd.openxmlformats-officedocument.spreadsheetml.pivotTab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4.xml" ContentType="application/vnd.openxmlformats-officedocument.spreadsheetml.pivotTab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tar\uni-data-warehouse\project\stage03\"/>
    </mc:Choice>
  </mc:AlternateContent>
  <xr:revisionPtr revIDLastSave="0" documentId="13_ncr:1_{60C92CF5-503A-455E-B9BE-7E072D2C452B}" xr6:coauthVersionLast="47" xr6:coauthVersionMax="47" xr10:uidLastSave="{00000000-0000-0000-0000-000000000000}"/>
  <bookViews>
    <workbookView xWindow="-28920" yWindow="-120" windowWidth="29040" windowHeight="15840" tabRatio="879" firstSheet="5" activeTab="12" xr2:uid="{5D7D4CC1-6A94-48C8-A9CB-AB14AE6EE489}"/>
  </bookViews>
  <sheets>
    <sheet name="RainVsPitStops" sheetId="1" r:id="rId1"/>
    <sheet name="Average Absolute Position Order" sheetId="3" r:id="rId2"/>
    <sheet name="Top 5 constructors by avgpoints" sheetId="4" r:id="rId3"/>
    <sheet name="Win Percentage over the years " sheetId="2" r:id="rId4"/>
    <sheet name="Average Finish Position by Grid" sheetId="5" r:id="rId5"/>
    <sheet name="Finish Percentages by Weather" sheetId="7" r:id="rId6"/>
    <sheet name="AgeGroup" sheetId="8" r:id="rId7"/>
    <sheet name="Top 10 reasons for Mechanical" sheetId="9" r:id="rId8"/>
    <sheet name="Podium from in or out weather" sheetId="10" r:id="rId9"/>
    <sheet name="Average Race Time in Autodromo " sheetId="11" r:id="rId10"/>
    <sheet name="KPI" sheetId="12" r:id="rId11"/>
    <sheet name="KPI Colors" sheetId="13" r:id="rId12"/>
    <sheet name="Sheet1" sheetId="14" r:id="rId13"/>
  </sheets>
  <calcPr calcId="0"/>
  <pivotCaches>
    <pivotCache cacheId="0" r:id="rId14"/>
    <pivotCache cacheId="1" r:id="rId15"/>
    <pivotCache cacheId="2" r:id="rId16"/>
    <pivotCache cacheId="3" r:id="rId17"/>
    <pivotCache cacheId="4" r:id="rId18"/>
    <pivotCache cacheId="5" r:id="rId19"/>
    <pivotCache cacheId="6" r:id="rId20"/>
    <pivotCache cacheId="7" r:id="rId21"/>
    <pivotCache cacheId="8" r:id="rId22"/>
    <pivotCache cacheId="9" r:id="rId23"/>
    <pivotCache cacheId="10" r:id="rId24"/>
    <pivotCache cacheId="11" r:id="rId25"/>
    <pivotCache cacheId="12" r:id="rId26"/>
    <pivotCache cacheId="13" r:id="rId27"/>
    <pivotCache cacheId="14" r:id="rId28"/>
    <pivotCache cacheId="15" r:id="rId29"/>
    <pivotCache cacheId="86" r:id="rId30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B56B2A-D22E-47DA-A2B9-32D096E30B39}" odcFile="C:\Users\Jantar\AppData\Local\Temp\tmp3B1.odc" keepAlive="1" name="localhost FormulaCube" type="5" refreshedVersion="8" background="1">
    <dbPr connection="Provider=MSOLAP.8;Integrated Security=SSPI;Persist Security Info=True;Initial Catalog=FormulaCube;Data Source=localhost;MDX Compatibility=1;Safety Options=2;MDX Missing Member Mode=Error;Update Isolation Level=2" command="Formula One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4">
    <s v="localhost FormulaCube"/>
    <s v="{[Dim Time].[Year].&amp;[2018],[Dim Time].[Year].&amp;[2019],[Dim Time].[Year].&amp;[2020],[Dim Time].[Year].&amp;[2021],[Dim Time].[Year].&amp;[2022],[Dim Time].[Year].&amp;[2023]}"/>
    <s v="{[Dim Circuit].[Continent].&amp;[Europe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,[Dim Time].[Year].&amp;[2021],[Dim Time].[Year].&amp;[2022],[Dim Time].[Year].&amp;[2023],[Dim Time].[Year].&amp;[2024]}"/>
    <s v="{[Dim Race].[Race Name Official].&amp;[British Grand Prix]}"/>
    <s v="{[Dim Time].[Year].&amp;[1990],[Dim Time].[Year].&amp;[1991],[Dim Time].[Year].&amp;[1992],[Dim Time].[Year].&amp;[1993],[Dim Time].[Year].&amp;[1994],[Dim Time].[Year].&amp;[1995],[Dim Time].[Year].&amp;[1996],[Dim Time].[Year].&amp;[1997],[Dim Time].[Year].&amp;[1998],[Dim Time].[Year].&amp;[1999],[Dim Time].[Year].&amp;[2000],[Dim Time].[Year].&amp;[2001],[Dim Time].[Year].&amp;[2002],[Dim Time].[Year].&amp;[2003],[Dim Time].[Year].&amp;[2004],[Dim Time].[Year].&amp;[2005],[Dim Time].[Year].&amp;[2006],[Dim Time].[Year].&amp;[2007],[Dim Time].[Year].&amp;[2008],[Dim Time].[Year].&amp;[2009]}"/>
    <s v="{[Dim Driver].[Continent].&amp;[Europe]}"/>
    <s v="{[Dim Time].[Year].&amp;[2018],[Dim Time].[Year].&amp;[2019],[Dim Time].[Year].&amp;[2020],[Dim Time].[Year].&amp;[2021],[Dim Time].[Year].&amp;[2022],[Dim Time].[Year].&amp;[2023],[Dim Time].[Year].&amp;[2024]}"/>
    <s v="{[Dim Status].[Status Category].&amp;[Mechanical Failure]}"/>
    <s v="{[Dim Time].[Year].&amp;[1950],[Dim Time].[Year].&amp;[1951],[Dim Time].[Year].&amp;[1952],[Dim Time].[Year].&amp;[1953],[Dim Time].[Year].&amp;[1954],[Dim Time].[Year].&amp;[1955],[Dim Time].[Year].&amp;[1956],[Dim Time].[Year].&amp;[1957],[Dim Time].[Year].&amp;[1958],[Dim Time].[Year].&amp;[1959],[Dim Time].[Year].&amp;[1960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}"/>
    <s v="{[Dim Constructor].[Continent].&amp;[Europe]}"/>
    <s v="{[Dim Circuit].[Circuit Name].&amp;[Autodromo Nazionale di Monza]}"/>
    <s v="{[Dim Time].[Year].&amp;[2000],[Dim Time].[Year].&amp;[2001],[Dim Time].[Year].&amp;[2002],[Dim Time].[Year].&amp;[2003],[Dim Time].[Year].&amp;[2004],[Dim Time].[Year].&amp;[2005],[Dim Time].[Year].&amp;[2006],[Dim Time].[Year].&amp;[2007],[Dim Time].[Year].&amp;[2008],[Dim Time].[Year].&amp;[2009],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,[Dim Time].[Year].&amp;[2021],[Dim Time].[Year].&amp;[2022],[Dim Time].[Year].&amp;[2023],[Dim Time].[Year].&amp;[2024]}"/>
  </metadataStrings>
  <mdxMetadata count="13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  <mdx n="0" f="s">
      <ms ns="9" c="0"/>
    </mdx>
    <mdx n="0" f="s">
      <ms ns="10" c="0"/>
    </mdx>
    <mdx n="0" f="s">
      <ms ns="11" c="0"/>
    </mdx>
    <mdx n="0" f="s">
      <ms ns="12" c="0"/>
    </mdx>
    <mdx n="0" f="s">
      <ms ns="13" c="0"/>
    </mdx>
  </mdxMetadata>
  <valueMetadata count="1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</valueMetadata>
</metadata>
</file>

<file path=xl/sharedStrings.xml><?xml version="1.0" encoding="utf-8"?>
<sst xmlns="http://schemas.openxmlformats.org/spreadsheetml/2006/main" count="441" uniqueCount="233">
  <si>
    <t>AveragePitStopsCount</t>
  </si>
  <si>
    <t>Column Labels</t>
  </si>
  <si>
    <t>2018</t>
  </si>
  <si>
    <t>2019</t>
  </si>
  <si>
    <t>2020</t>
  </si>
  <si>
    <t>2021</t>
  </si>
  <si>
    <t>2022</t>
  </si>
  <si>
    <t>2023</t>
  </si>
  <si>
    <t>Grand Total</t>
  </si>
  <si>
    <t>Row Labels</t>
  </si>
  <si>
    <t>No Rain</t>
  </si>
  <si>
    <t>Rain Occurred</t>
  </si>
  <si>
    <t>Year</t>
  </si>
  <si>
    <t>(Multiple Items)</t>
  </si>
  <si>
    <t>Austria</t>
  </si>
  <si>
    <t>Belgium</t>
  </si>
  <si>
    <t>France</t>
  </si>
  <si>
    <t>Germany</t>
  </si>
  <si>
    <t>Europe</t>
  </si>
  <si>
    <t>Continent</t>
  </si>
  <si>
    <t>Average Absolute Position Order Change</t>
  </si>
  <si>
    <t>Average Points</t>
  </si>
  <si>
    <t>Alfa Romeo</t>
  </si>
  <si>
    <t>AlphaTauri</t>
  </si>
  <si>
    <t>Alpine F1 Team</t>
  </si>
  <si>
    <t>Aston Martin</t>
  </si>
  <si>
    <t>Caterham</t>
  </si>
  <si>
    <t>Ferrari</t>
  </si>
  <si>
    <t>Force India</t>
  </si>
  <si>
    <t>Haas F1 Team</t>
  </si>
  <si>
    <t>HRT</t>
  </si>
  <si>
    <t>Lotus</t>
  </si>
  <si>
    <t>Lotus F1</t>
  </si>
  <si>
    <t>Manor Marussia</t>
  </si>
  <si>
    <t>Marussia</t>
  </si>
  <si>
    <t>McLaren</t>
  </si>
  <si>
    <t>Mercedes</t>
  </si>
  <si>
    <t>Racing Point</t>
  </si>
  <si>
    <t>RB F1 Team</t>
  </si>
  <si>
    <t>Red Bull</t>
  </si>
  <si>
    <t>Renault</t>
  </si>
  <si>
    <t>Sauber</t>
  </si>
  <si>
    <t>Toro Rosso</t>
  </si>
  <si>
    <t>Virgin</t>
  </si>
  <si>
    <t>Williams</t>
  </si>
  <si>
    <t>2024</t>
  </si>
  <si>
    <t>Average Finish Position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</si>
  <si>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</si>
  <si>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</si>
  <si>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</si>
  <si>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</si>
  <si>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</si>
  <si>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</si>
  <si>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</si>
  <si>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</si>
  <si>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</si>
  <si>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</si>
  <si>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</si>
  <si>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</si>
  <si>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</si>
  <si>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</si>
  <si>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</si>
  <si>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</si>
  <si>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</si>
  <si>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</si>
  <si>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</si>
  <si>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</si>
  <si>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</si>
  <si>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</si>
  <si>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</si>
  <si>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</si>
  <si>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</si>
  <si>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</si>
  <si>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Race Name Official</t>
  </si>
  <si>
    <t>British Grand Prix</t>
  </si>
  <si>
    <t>Antonio Giovinazzi</t>
  </si>
  <si>
    <t>Carlos Sainz</t>
  </si>
  <si>
    <t>Charles Leclerc</t>
  </si>
  <si>
    <t>Daniil Kvyat</t>
  </si>
  <si>
    <t>Esteban Ocon</t>
  </si>
  <si>
    <t>Fernando Alonso</t>
  </si>
  <si>
    <t>George Russell</t>
  </si>
  <si>
    <t>Jack Aitken</t>
  </si>
  <si>
    <t>Kevin Magnussen</t>
  </si>
  <si>
    <t>Kimi Räikkönen</t>
  </si>
  <si>
    <t>Lando Norris</t>
  </si>
  <si>
    <t>Lewis Hamilton</t>
  </si>
  <si>
    <t>Marcus Ericsson</t>
  </si>
  <si>
    <t>Max Verstappen</t>
  </si>
  <si>
    <t>Mick Schumacher</t>
  </si>
  <si>
    <t>Nico Hülkenberg</t>
  </si>
  <si>
    <t>Nikita Mazepin</t>
  </si>
  <si>
    <t>Nyck de Vries</t>
  </si>
  <si>
    <t>Oliver Bearman</t>
  </si>
  <si>
    <t>Pierre Gasly</t>
  </si>
  <si>
    <t>Robert Kubica</t>
  </si>
  <si>
    <t>Romain Grosjean</t>
  </si>
  <si>
    <t>Sebastian Vettel</t>
  </si>
  <si>
    <t>Sergey Sirotkin</t>
  </si>
  <si>
    <t>Stoffel Vandoorne</t>
  </si>
  <si>
    <t>Valtteri Bottas</t>
  </si>
  <si>
    <t>Win Percentage from Grid</t>
  </si>
  <si>
    <t>Column1</t>
  </si>
  <si>
    <t>Column2</t>
  </si>
  <si>
    <t>Spielberg</t>
  </si>
  <si>
    <t>Brussels</t>
  </si>
  <si>
    <t>Heusden-Zolder</t>
  </si>
  <si>
    <t>Spa</t>
  </si>
  <si>
    <t>Clermont-Ferrand</t>
  </si>
  <si>
    <t>Dijon</t>
  </si>
  <si>
    <t>Le Castellet</t>
  </si>
  <si>
    <t>Magny Cours</t>
  </si>
  <si>
    <t>Reims</t>
  </si>
  <si>
    <t>Rouen</t>
  </si>
  <si>
    <t>Hockenheim</t>
  </si>
  <si>
    <t>Nürburg</t>
  </si>
  <si>
    <t>Hot Track</t>
  </si>
  <si>
    <t>Optimal Track</t>
  </si>
  <si>
    <t>Very Hot Track</t>
  </si>
  <si>
    <t>Cool Track</t>
  </si>
  <si>
    <t>Calm</t>
  </si>
  <si>
    <t>Light Breeze</t>
  </si>
  <si>
    <t>Moderate Breeze</t>
  </si>
  <si>
    <t>DNF Percentage</t>
  </si>
  <si>
    <t>Finish Percentage</t>
  </si>
  <si>
    <t>20-25</t>
  </si>
  <si>
    <t>26-30</t>
  </si>
  <si>
    <t>31-35</t>
  </si>
  <si>
    <t>Over 35</t>
  </si>
  <si>
    <t>Under 20</t>
  </si>
  <si>
    <t>Average Fastest Lap Top Speed</t>
  </si>
  <si>
    <t>Axle</t>
  </si>
  <si>
    <t>Brakes</t>
  </si>
  <si>
    <t>Clutch</t>
  </si>
  <si>
    <t>Electrical</t>
  </si>
  <si>
    <t>Engine</t>
  </si>
  <si>
    <t>Gearbox</t>
  </si>
  <si>
    <t>Hydraulics</t>
  </si>
  <si>
    <t>Ignition</t>
  </si>
  <si>
    <t>Mechanical</t>
  </si>
  <si>
    <t>Oil leak</t>
  </si>
  <si>
    <t>Overheating</t>
  </si>
  <si>
    <t>Power Unit</t>
  </si>
  <si>
    <t>Puncture</t>
  </si>
  <si>
    <t>Suspension</t>
  </si>
  <si>
    <t>Transmission</t>
  </si>
  <si>
    <t>Wheel</t>
  </si>
  <si>
    <t>Status Category</t>
  </si>
  <si>
    <t>Mechanical Failure</t>
  </si>
  <si>
    <t>Fact Result Count</t>
  </si>
  <si>
    <t>Total Podium From Outside Top10 Grid</t>
  </si>
  <si>
    <t>Podium From Outside Top10 Grid</t>
  </si>
  <si>
    <t>Total Podium From Inside Top10 Grid</t>
  </si>
  <si>
    <t>Podium From Inside Top10 Grid</t>
  </si>
  <si>
    <t>Circuit Name</t>
  </si>
  <si>
    <t>Autodromo Nazionale di Monza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</si>
  <si>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</si>
  <si>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</si>
  <si>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</si>
  <si>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</si>
  <si>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</si>
  <si>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</si>
  <si>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</si>
  <si>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</si>
  <si>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</si>
  <si>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</si>
  <si>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</si>
  <si>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</si>
  <si>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</si>
  <si>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</si>
  <si>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</si>
  <si>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</si>
  <si>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</si>
  <si>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</si>
  <si>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</si>
  <si>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</si>
  <si>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</si>
  <si>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</si>
  <si>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</si>
  <si>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</si>
  <si>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</si>
  <si>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</si>
  <si>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</si>
  <si>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</si>
  <si>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</si>
  <si>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</si>
  <si>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</si>
  <si>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</si>
  <si>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</si>
  <si>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</si>
  <si>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</si>
  <si>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</si>
  <si>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</si>
  <si>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</si>
  <si>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</si>
  <si>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</si>
  <si>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</si>
  <si>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</si>
  <si>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</si>
  <si>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</si>
  <si>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</si>
  <si>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</si>
  <si>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</si>
  <si>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</si>
  <si>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</si>
  <si>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</si>
  <si>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</si>
  <si>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</si>
  <si>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</si>
  <si>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</si>
  <si>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</si>
  <si>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</si>
  <si>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</si>
  <si>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</si>
  <si>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</si>
  <si>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</si>
  <si>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</si>
  <si>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</si>
  <si>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</si>
  <si>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</si>
  <si>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</si>
  <si>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</si>
  <si>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</si>
  <si>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Average Race Time in Minutes</t>
  </si>
  <si>
    <t>Constructor Reliability KPI</t>
  </si>
  <si>
    <t>Constructor Reliability KPI Goal</t>
  </si>
  <si>
    <t>Constructor Reliability KPI Status</t>
  </si>
  <si>
    <t>Constructor Reliability KPI Trend</t>
  </si>
  <si>
    <t>Accident/Incident</t>
  </si>
  <si>
    <t>Driver Issue</t>
  </si>
  <si>
    <t>Pre-Race/Qualification</t>
  </si>
  <si>
    <t>Race Outcome</t>
  </si>
  <si>
    <t>Sporting/Regulatory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</si>
</sst>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33" borderId="10" xfId="0" applyFont="1" applyFill="1" applyBorder="1"/>
    <xf numFmtId="10" fontId="0" fillId="0" borderId="0" xfId="0" applyNumberFormat="1"/>
    <xf numFmtId="0" fontId="0" fillId="0" borderId="0" xfId="0" applyAlignment="1">
      <alignment horizontal="left" indent="2"/>
    </xf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4" formatCode="0.00%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5.xml"/><Relationship Id="rId26" Type="http://schemas.openxmlformats.org/officeDocument/2006/relationships/pivotCacheDefinition" Target="pivotCache/pivotCacheDefinition13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8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5" Type="http://schemas.openxmlformats.org/officeDocument/2006/relationships/pivotCacheDefinition" Target="pivotCache/pivotCacheDefinition12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7.xml"/><Relationship Id="rId29" Type="http://schemas.openxmlformats.org/officeDocument/2006/relationships/pivotCacheDefinition" Target="pivotCache/pivotCacheDefinition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1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pivotCacheDefinition" Target="pivotCache/pivotCacheDefinition10.xml"/><Relationship Id="rId28" Type="http://schemas.openxmlformats.org/officeDocument/2006/relationships/pivotCacheDefinition" Target="pivotCache/pivotCacheDefinition15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6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pivotCacheDefinition" Target="pivotCache/pivotCacheDefinition9.xml"/><Relationship Id="rId27" Type="http://schemas.openxmlformats.org/officeDocument/2006/relationships/pivotCacheDefinition" Target="pivotCache/pivotCacheDefinition14.xml"/><Relationship Id="rId30" Type="http://schemas.openxmlformats.org/officeDocument/2006/relationships/pivotCacheDefinition" Target="pivotCache/pivotCacheDefinition17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[analysis.xlsx]RainVsPitStops!PivotTable1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number</a:t>
            </a:r>
            <a:r>
              <a:rPr lang="pl-PL" baseline="0"/>
              <a:t> of pit stops by rain occurence in years 2018-2023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RainVsPitStops!$B$4:$B$5</c:f>
              <c:strCache>
                <c:ptCount val="1"/>
                <c:pt idx="0">
                  <c:v>No 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922-4D18-8E8C-10340D2E2DAB}"/>
              </c:ext>
            </c:extLst>
          </c:dPt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RainVsPitStops!$B$6:$B$12</c:f>
              <c:numCache>
                <c:formatCode>General</c:formatCode>
                <c:ptCount val="6"/>
                <c:pt idx="0">
                  <c:v>1.4611872146118721</c:v>
                </c:pt>
                <c:pt idx="1">
                  <c:v>1.4928774928774928</c:v>
                </c:pt>
                <c:pt idx="2">
                  <c:v>1.904040404040404</c:v>
                </c:pt>
                <c:pt idx="3">
                  <c:v>1.9824561403508771</c:v>
                </c:pt>
                <c:pt idx="4">
                  <c:v>1.9039735099337749</c:v>
                </c:pt>
                <c:pt idx="5">
                  <c:v>1.8850931677018634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9D-4B92-A1EA-6D1124CE8AC8}"/>
            </c:ext>
          </c:extLst>
        </c:ser>
        <c:ser>
          <c:idx val="1"/>
          <c:order val="1"/>
          <c:tx>
            <c:strRef>
              <c:f>RainVsPitStops!$C$4:$C$5</c:f>
              <c:strCache>
                <c:ptCount val="1"/>
                <c:pt idx="0">
                  <c:v>Rain Occurred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RainVsPitStops!$C$6:$C$12</c:f>
              <c:numCache>
                <c:formatCode>General</c:formatCode>
                <c:ptCount val="6"/>
                <c:pt idx="0">
                  <c:v>1.3251533742331287</c:v>
                </c:pt>
                <c:pt idx="1">
                  <c:v>2.1724137931034484</c:v>
                </c:pt>
                <c:pt idx="2">
                  <c:v>1.9661016949152543</c:v>
                </c:pt>
                <c:pt idx="3">
                  <c:v>2.36</c:v>
                </c:pt>
                <c:pt idx="4">
                  <c:v>2.1296296296296298</c:v>
                </c:pt>
                <c:pt idx="5">
                  <c:v>3.2105263157894739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34-431E-9D9D-62FFC79F1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9144831"/>
        <c:axId val="739145311"/>
      </c:barChart>
      <c:catAx>
        <c:axId val="739144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5311"/>
        <c:crosses val="autoZero"/>
        <c:auto val="1"/>
        <c:lblAlgn val="ctr"/>
        <c:lblOffset val="100"/>
        <c:noMultiLvlLbl val="0"/>
      </c:catAx>
      <c:valAx>
        <c:axId val="7391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Number of PitStops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Absolute Position Order!PivotTable4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Absolute Position</a:t>
            </a:r>
            <a:r>
              <a:rPr lang="pl-PL" baseline="0"/>
              <a:t> Order Change by Circuit in Austria, Belgium, France and Germany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'Average Absolute Position Order'!$B$4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'Average Absolute Position Order'!$A$5:$A$22</c:f>
              <c:multiLvlStrCache>
                <c:ptCount val="12"/>
                <c:lvl>
                  <c:pt idx="0">
                    <c:v>Spielberg</c:v>
                  </c:pt>
                  <c:pt idx="1">
                    <c:v>Brussels</c:v>
                  </c:pt>
                  <c:pt idx="2">
                    <c:v>Heusden-Zolder</c:v>
                  </c:pt>
                  <c:pt idx="3">
                    <c:v>Spa</c:v>
                  </c:pt>
                  <c:pt idx="4">
                    <c:v>Clermont-Ferrand</c:v>
                  </c:pt>
                  <c:pt idx="5">
                    <c:v>Dijon</c:v>
                  </c:pt>
                  <c:pt idx="6">
                    <c:v>Le Castellet</c:v>
                  </c:pt>
                  <c:pt idx="7">
                    <c:v>Magny Cours</c:v>
                  </c:pt>
                  <c:pt idx="8">
                    <c:v>Reims</c:v>
                  </c:pt>
                  <c:pt idx="9">
                    <c:v>Rouen</c:v>
                  </c:pt>
                  <c:pt idx="10">
                    <c:v>Hockenheim</c:v>
                  </c:pt>
                  <c:pt idx="11">
                    <c:v>Nürburg</c:v>
                  </c:pt>
                </c:lvl>
                <c:lvl>
                  <c:pt idx="0">
                    <c:v>Austria</c:v>
                  </c:pt>
                  <c:pt idx="1">
                    <c:v>Belgium</c:v>
                  </c:pt>
                  <c:pt idx="4">
                    <c:v>France</c:v>
                  </c:pt>
                  <c:pt idx="10">
                    <c:v>Germany</c:v>
                  </c:pt>
                </c:lvl>
                <c:lvl>
                  <c:pt idx="0">
                    <c:v>Europe</c:v>
                  </c:pt>
                </c:lvl>
              </c:multiLvlStrCache>
            </c:multiLvlStrRef>
          </c:cat>
          <c:val>
            <c:numRef>
              <c:f>'Average Absolute Position Order'!$B$5:$B$22</c:f>
              <c:numCache>
                <c:formatCode>General</c:formatCode>
                <c:ptCount val="12"/>
                <c:pt idx="0">
                  <c:v>1.2086570477247502</c:v>
                </c:pt>
                <c:pt idx="1">
                  <c:v>0.56140350877192979</c:v>
                </c:pt>
                <c:pt idx="2">
                  <c:v>3.4645390070921986</c:v>
                </c:pt>
                <c:pt idx="3">
                  <c:v>1.4308426073131955</c:v>
                </c:pt>
                <c:pt idx="4">
                  <c:v>1.1666666666666667</c:v>
                </c:pt>
                <c:pt idx="5">
                  <c:v>4.2163742690058479</c:v>
                </c:pt>
                <c:pt idx="6">
                  <c:v>2.6777546777546779</c:v>
                </c:pt>
                <c:pt idx="7">
                  <c:v>1.1880952380952381</c:v>
                </c:pt>
                <c:pt idx="8">
                  <c:v>1.0948616600790513</c:v>
                </c:pt>
                <c:pt idx="9">
                  <c:v>0.94680851063829785</c:v>
                </c:pt>
                <c:pt idx="10">
                  <c:v>2.3026737967914439</c:v>
                </c:pt>
                <c:pt idx="11">
                  <c:v>0.98565573770491799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2-4519-AA3E-0B48C7966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3970015"/>
        <c:axId val="1913968575"/>
      </c:barChart>
      <c:catAx>
        <c:axId val="191397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Location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68575"/>
        <c:crosses val="autoZero"/>
        <c:auto val="1"/>
        <c:lblAlgn val="ctr"/>
        <c:lblOffset val="100"/>
        <c:noMultiLvlLbl val="0"/>
      </c:catAx>
      <c:valAx>
        <c:axId val="19139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</a:t>
                </a:r>
                <a:r>
                  <a:rPr lang="pl-PL" baseline="0"/>
                  <a:t> Absolute Position Order Change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7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5 constructors by avgpoints!PivotTable5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5 constructors by average points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 constructors by avgpoints'!$B$3:$B$4</c:f>
              <c:strCache>
                <c:ptCount val="1"/>
                <c:pt idx="0">
                  <c:v>Lotus F1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avgpoints'!$B$5</c:f>
              <c:numCache>
                <c:formatCode>General</c:formatCode>
                <c:ptCount val="1"/>
                <c:pt idx="0">
                  <c:v>4.5844155844155843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8-4CFD-BE44-3B1B6D322A8E}"/>
            </c:ext>
          </c:extLst>
        </c:ser>
        <c:ser>
          <c:idx val="1"/>
          <c:order val="1"/>
          <c:tx>
            <c:strRef>
              <c:f>'Top 5 constructors by avgpoints'!$C$3:$C$4</c:f>
              <c:strCache>
                <c:ptCount val="1"/>
                <c:pt idx="0">
                  <c:v>McLaren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avgpoints'!$C$5</c:f>
              <c:numCache>
                <c:formatCode>General</c:formatCode>
                <c:ptCount val="1"/>
                <c:pt idx="0">
                  <c:v>5.6934426229508199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6858-4CFD-BE44-3B1B6D322A8E}"/>
            </c:ext>
          </c:extLst>
        </c:ser>
        <c:ser>
          <c:idx val="2"/>
          <c:order val="2"/>
          <c:tx>
            <c:strRef>
              <c:f>'Top 5 constructors by avgpoints'!$D$3:$D$4</c:f>
              <c:strCache>
                <c:ptCount val="1"/>
                <c:pt idx="0">
                  <c:v>Ferrari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avgpoints'!$D$5</c:f>
              <c:numCache>
                <c:formatCode>General</c:formatCode>
                <c:ptCount val="1"/>
                <c:pt idx="0">
                  <c:v>9.9909836065573767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6858-4CFD-BE44-3B1B6D322A8E}"/>
            </c:ext>
          </c:extLst>
        </c:ser>
        <c:ser>
          <c:idx val="3"/>
          <c:order val="3"/>
          <c:tx>
            <c:strRef>
              <c:f>'Top 5 constructors by avgpoints'!$E$3:$E$4</c:f>
              <c:strCache>
                <c:ptCount val="1"/>
                <c:pt idx="0">
                  <c:v>Red Bull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avgpoints'!$E$5</c:f>
              <c:numCache>
                <c:formatCode>General</c:formatCode>
                <c:ptCount val="1"/>
                <c:pt idx="0">
                  <c:v>12.158196721311475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6858-4CFD-BE44-3B1B6D322A8E}"/>
            </c:ext>
          </c:extLst>
        </c:ser>
        <c:ser>
          <c:idx val="4"/>
          <c:order val="4"/>
          <c:tx>
            <c:strRef>
              <c:f>'Top 5 constructors by avgpoints'!$F$3:$F$4</c:f>
              <c:strCache>
                <c:ptCount val="1"/>
                <c:pt idx="0">
                  <c:v>Mercedes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avgpoints'!$F$5</c:f>
              <c:numCache>
                <c:formatCode>General</c:formatCode>
                <c:ptCount val="1"/>
                <c:pt idx="0">
                  <c:v>12.445081967213115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6858-4CFD-BE44-3B1B6D322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2379391"/>
        <c:axId val="1012380831"/>
      </c:barChart>
      <c:catAx>
        <c:axId val="101237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Construcotr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80831"/>
        <c:crosses val="autoZero"/>
        <c:auto val="1"/>
        <c:lblAlgn val="ctr"/>
        <c:lblOffset val="100"/>
        <c:noMultiLvlLbl val="0"/>
      </c:catAx>
      <c:valAx>
        <c:axId val="101238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Points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79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[analysis.xlsx]Win Percentage over the years 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over the years 2018-2024 by the best 9 drivers in Europe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 Percentage over the years '!$L$5:$L$6</c:f>
              <c:strCache>
                <c:ptCount val="1"/>
                <c:pt idx="0">
                  <c:v>Max Verstappen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'!$L$7:$L$14</c:f>
              <c:numCache>
                <c:formatCode>0.00%</c:formatCode>
                <c:ptCount val="7"/>
                <c:pt idx="0">
                  <c:v>0.11764705882352941</c:v>
                </c:pt>
                <c:pt idx="1">
                  <c:v>0.15789473684210525</c:v>
                </c:pt>
                <c:pt idx="2">
                  <c:v>0.16666666666666666</c:v>
                </c:pt>
                <c:pt idx="3">
                  <c:v>0.52631578947368418</c:v>
                </c:pt>
                <c:pt idx="4">
                  <c:v>0.75</c:v>
                </c:pt>
                <c:pt idx="5">
                  <c:v>0.86363636363636365</c:v>
                </c:pt>
                <c:pt idx="6">
                  <c:v>0.39130434782608697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6-45F7-BBC4-C0FE8A7D3F97}"/>
            </c:ext>
          </c:extLst>
        </c:ser>
        <c:ser>
          <c:idx val="1"/>
          <c:order val="1"/>
          <c:tx>
            <c:strRef>
              <c:f>'Win Percentage over the years '!$M$5:$M$6</c:f>
              <c:strCache>
                <c:ptCount val="1"/>
                <c:pt idx="0">
                  <c:v>Lewis Hamilton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'!$M$7:$M$14</c:f>
              <c:numCache>
                <c:formatCode>0.00%</c:formatCode>
                <c:ptCount val="7"/>
                <c:pt idx="0">
                  <c:v>0.55000000000000004</c:v>
                </c:pt>
                <c:pt idx="1">
                  <c:v>0.52380952380952384</c:v>
                </c:pt>
                <c:pt idx="2">
                  <c:v>0.6875</c:v>
                </c:pt>
                <c:pt idx="3">
                  <c:v>0.38095238095238093</c:v>
                </c:pt>
                <c:pt idx="4">
                  <c:v>0</c:v>
                </c:pt>
                <c:pt idx="5">
                  <c:v>0</c:v>
                </c:pt>
                <c:pt idx="6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6-45F7-BBC4-C0FE8A7D3F97}"/>
            </c:ext>
          </c:extLst>
        </c:ser>
        <c:ser>
          <c:idx val="2"/>
          <c:order val="2"/>
          <c:tx>
            <c:strRef>
              <c:f>'Win Percentage over the years '!$N$5:$N$6</c:f>
              <c:strCache>
                <c:ptCount val="1"/>
                <c:pt idx="0">
                  <c:v>Sebastian Vettel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'!$N$7:$N$14</c:f>
              <c:numCache>
                <c:formatCode>0.00%</c:formatCode>
                <c:ptCount val="7"/>
                <c:pt idx="0">
                  <c:v>0.25</c:v>
                </c:pt>
                <c:pt idx="1">
                  <c:v>5.5555555555555552E-2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6-45F7-BBC4-C0FE8A7D3F97}"/>
            </c:ext>
          </c:extLst>
        </c:ser>
        <c:ser>
          <c:idx val="3"/>
          <c:order val="3"/>
          <c:tx>
            <c:strRef>
              <c:f>'Win Percentage over the years '!$O$5:$O$6</c:f>
              <c:strCache>
                <c:ptCount val="1"/>
                <c:pt idx="0">
                  <c:v>Charles Leclerc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'!$O$7:$O$14</c:f>
              <c:numCache>
                <c:formatCode>0.00%</c:formatCode>
                <c:ptCount val="7"/>
                <c:pt idx="0">
                  <c:v>0</c:v>
                </c:pt>
                <c:pt idx="1">
                  <c:v>0.1111111111111111</c:v>
                </c:pt>
                <c:pt idx="2">
                  <c:v>0</c:v>
                </c:pt>
                <c:pt idx="3">
                  <c:v>0</c:v>
                </c:pt>
                <c:pt idx="4">
                  <c:v>0.15789473684210525</c:v>
                </c:pt>
                <c:pt idx="5">
                  <c:v>0</c:v>
                </c:pt>
                <c:pt idx="6">
                  <c:v>0.13043478260869565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6-45F7-BBC4-C0FE8A7D3F97}"/>
            </c:ext>
          </c:extLst>
        </c:ser>
        <c:ser>
          <c:idx val="4"/>
          <c:order val="4"/>
          <c:tx>
            <c:strRef>
              <c:f>'Win Percentage over the years '!$P$5:$P$6</c:f>
              <c:strCache>
                <c:ptCount val="1"/>
                <c:pt idx="0">
                  <c:v>Valtteri Bottas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'!$P$7:$P$14</c:f>
              <c:numCache>
                <c:formatCode>0.00%</c:formatCode>
                <c:ptCount val="7"/>
                <c:pt idx="0">
                  <c:v>0</c:v>
                </c:pt>
                <c:pt idx="1">
                  <c:v>0.21052631578947367</c:v>
                </c:pt>
                <c:pt idx="2">
                  <c:v>0.125</c:v>
                </c:pt>
                <c:pt idx="3">
                  <c:v>5.5555555555555552E-2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26-45F7-BBC4-C0FE8A7D3F97}"/>
            </c:ext>
          </c:extLst>
        </c:ser>
        <c:ser>
          <c:idx val="5"/>
          <c:order val="5"/>
          <c:tx>
            <c:strRef>
              <c:f>'Win Percentage over the years '!$Q$5:$Q$6</c:f>
              <c:strCache>
                <c:ptCount val="1"/>
                <c:pt idx="0">
                  <c:v>Lando Norris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'!$Q$7:$Q$14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26-45F7-BBC4-C0FE8A7D3F97}"/>
            </c:ext>
          </c:extLst>
        </c:ser>
        <c:ser>
          <c:idx val="6"/>
          <c:order val="6"/>
          <c:tx>
            <c:strRef>
              <c:f>'Win Percentage over the years '!$R$5:$R$6</c:f>
              <c:strCache>
                <c:ptCount val="1"/>
                <c:pt idx="0">
                  <c:v>Carlos Sainz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'!$R$7:$R$14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6.25E-2</c:v>
                </c:pt>
                <c:pt idx="5">
                  <c:v>0.05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E26-45F7-BBC4-C0FE8A7D3F97}"/>
            </c:ext>
          </c:extLst>
        </c:ser>
        <c:ser>
          <c:idx val="7"/>
          <c:order val="7"/>
          <c:tx>
            <c:strRef>
              <c:f>'Win Percentage over the years '!$S$5:$S$6</c:f>
              <c:strCache>
                <c:ptCount val="1"/>
                <c:pt idx="0">
                  <c:v>George Russell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'!$S$7:$S$14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  <c:pt idx="5">
                  <c:v>0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E26-45F7-BBC4-C0FE8A7D3F97}"/>
            </c:ext>
          </c:extLst>
        </c:ser>
        <c:ser>
          <c:idx val="8"/>
          <c:order val="8"/>
          <c:tx>
            <c:strRef>
              <c:f>'Win Percentage over the years '!$T$5:$T$6</c:f>
              <c:strCache>
                <c:ptCount val="1"/>
                <c:pt idx="0">
                  <c:v>Kimi Räikkönen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'!$T$7:$T$14</c:f>
              <c:numCache>
                <c:formatCode>0.00%</c:formatCode>
                <c:ptCount val="7"/>
                <c:pt idx="0">
                  <c:v>5.8823529411764705E-2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E26-45F7-BBC4-C0FE8A7D3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1831119"/>
        <c:axId val="571827759"/>
      </c:barChart>
      <c:catAx>
        <c:axId val="57183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27759"/>
        <c:crosses val="autoZero"/>
        <c:auto val="1"/>
        <c:lblAlgn val="ctr"/>
        <c:lblOffset val="100"/>
        <c:noMultiLvlLbl val="0"/>
      </c:catAx>
      <c:valAx>
        <c:axId val="5718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Finish Position by Grid!PivotTable3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Finish Position by</a:t>
            </a:r>
            <a:r>
              <a:rPr lang="pl-PL" baseline="0"/>
              <a:t> Starting Grid Position in British Grand Prix 1990-2009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Finish Position by Grid'!$B$5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Finish Position by Grid'!$A$6:$A$32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'Average Finish Position by Grid'!$B$6:$B$32</c:f>
              <c:numCache>
                <c:formatCode>General</c:formatCode>
                <c:ptCount val="26"/>
                <c:pt idx="0">
                  <c:v>7.333333333333333</c:v>
                </c:pt>
                <c:pt idx="1">
                  <c:v>10.857142857142858</c:v>
                </c:pt>
                <c:pt idx="2">
                  <c:v>12.461538461538462</c:v>
                </c:pt>
                <c:pt idx="3">
                  <c:v>9.2666666666666675</c:v>
                </c:pt>
                <c:pt idx="4">
                  <c:v>6.7058823529411766</c:v>
                </c:pt>
                <c:pt idx="5">
                  <c:v>10</c:v>
                </c:pt>
                <c:pt idx="6">
                  <c:v>22.181818181818183</c:v>
                </c:pt>
                <c:pt idx="7">
                  <c:v>15.846153846153847</c:v>
                </c:pt>
                <c:pt idx="8">
                  <c:v>15.571428571428571</c:v>
                </c:pt>
                <c:pt idx="9">
                  <c:v>17.642857142857142</c:v>
                </c:pt>
                <c:pt idx="10">
                  <c:v>20.23076923076923</c:v>
                </c:pt>
                <c:pt idx="11">
                  <c:v>15.642857142857142</c:v>
                </c:pt>
                <c:pt idx="12">
                  <c:v>16.866666666666667</c:v>
                </c:pt>
                <c:pt idx="13">
                  <c:v>19.23076923076923</c:v>
                </c:pt>
                <c:pt idx="14">
                  <c:v>21.23076923076923</c:v>
                </c:pt>
                <c:pt idx="15">
                  <c:v>37.75</c:v>
                </c:pt>
                <c:pt idx="16">
                  <c:v>32.222222222222221</c:v>
                </c:pt>
                <c:pt idx="17">
                  <c:v>25.833333333333332</c:v>
                </c:pt>
                <c:pt idx="18">
                  <c:v>42.375</c:v>
                </c:pt>
                <c:pt idx="19">
                  <c:v>24.166666666666668</c:v>
                </c:pt>
                <c:pt idx="20">
                  <c:v>20.636363636363637</c:v>
                </c:pt>
                <c:pt idx="21">
                  <c:v>28.857142857142858</c:v>
                </c:pt>
                <c:pt idx="22">
                  <c:v>31</c:v>
                </c:pt>
                <c:pt idx="23">
                  <c:v>30.333333333333332</c:v>
                </c:pt>
                <c:pt idx="24">
                  <c:v>41.5</c:v>
                </c:pt>
                <c:pt idx="25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C8-4314-88FD-8B0E81ACD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818159"/>
        <c:axId val="571833039"/>
      </c:lineChart>
      <c:catAx>
        <c:axId val="571818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Starting Grid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3039"/>
        <c:crosses val="autoZero"/>
        <c:auto val="1"/>
        <c:lblAlgn val="ctr"/>
        <c:lblOffset val="100"/>
        <c:noMultiLvlLbl val="0"/>
      </c:catAx>
      <c:valAx>
        <c:axId val="57183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18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[analysis.xlsx]Finish Percentages by Weather!PivotTable1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Finish Percentages by Weather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'Finish Percentages by Weather'!$B$1</c:f>
              <c:strCache>
                <c:ptCount val="1"/>
                <c:pt idx="0">
                  <c:v>Finish Percentage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Weather'!$B$2:$B$29</c:f>
              <c:numCache>
                <c:formatCode>0.00%</c:formatCode>
                <c:ptCount val="17"/>
                <c:pt idx="0">
                  <c:v>0.8833333333333333</c:v>
                </c:pt>
                <c:pt idx="1">
                  <c:v>0.85</c:v>
                </c:pt>
                <c:pt idx="2">
                  <c:v>0.8666666666666667</c:v>
                </c:pt>
                <c:pt idx="3">
                  <c:v>0.83571428571428574</c:v>
                </c:pt>
                <c:pt idx="4">
                  <c:v>0.85</c:v>
                </c:pt>
                <c:pt idx="5">
                  <c:v>0.84583333333333333</c:v>
                </c:pt>
                <c:pt idx="6">
                  <c:v>0.84750000000000003</c:v>
                </c:pt>
                <c:pt idx="7">
                  <c:v>0.85</c:v>
                </c:pt>
                <c:pt idx="8">
                  <c:v>0.87083333333333335</c:v>
                </c:pt>
                <c:pt idx="9">
                  <c:v>0.80714285714285716</c:v>
                </c:pt>
                <c:pt idx="10">
                  <c:v>0.875</c:v>
                </c:pt>
                <c:pt idx="11">
                  <c:v>0.83333333333333337</c:v>
                </c:pt>
                <c:pt idx="12">
                  <c:v>0.77500000000000002</c:v>
                </c:pt>
                <c:pt idx="13">
                  <c:v>0.8</c:v>
                </c:pt>
                <c:pt idx="14">
                  <c:v>0.81874999999999998</c:v>
                </c:pt>
                <c:pt idx="15">
                  <c:v>0.83750000000000002</c:v>
                </c:pt>
                <c:pt idx="16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1-4AAE-910D-8AD91712EB3C}"/>
            </c:ext>
          </c:extLst>
        </c:ser>
        <c:ser>
          <c:idx val="1"/>
          <c:order val="1"/>
          <c:tx>
            <c:strRef>
              <c:f>'Finish Percentages by Weather'!$C$1</c:f>
              <c:strCache>
                <c:ptCount val="1"/>
                <c:pt idx="0">
                  <c:v>DNF 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Weather'!$C$2:$C$29</c:f>
              <c:numCache>
                <c:formatCode>0.00%</c:formatCode>
                <c:ptCount val="17"/>
                <c:pt idx="0">
                  <c:v>0.11666666666666667</c:v>
                </c:pt>
                <c:pt idx="1">
                  <c:v>0.15</c:v>
                </c:pt>
                <c:pt idx="2">
                  <c:v>0.13333333333333333</c:v>
                </c:pt>
                <c:pt idx="3">
                  <c:v>0.16428571428571428</c:v>
                </c:pt>
                <c:pt idx="4">
                  <c:v>0.15</c:v>
                </c:pt>
                <c:pt idx="5">
                  <c:v>0.15416666666666667</c:v>
                </c:pt>
                <c:pt idx="6">
                  <c:v>0.1525</c:v>
                </c:pt>
                <c:pt idx="7">
                  <c:v>0.15</c:v>
                </c:pt>
                <c:pt idx="8">
                  <c:v>0.12916666666666668</c:v>
                </c:pt>
                <c:pt idx="9">
                  <c:v>0.19285714285714287</c:v>
                </c:pt>
                <c:pt idx="10">
                  <c:v>0.125</c:v>
                </c:pt>
                <c:pt idx="11">
                  <c:v>0.16666666666666666</c:v>
                </c:pt>
                <c:pt idx="12">
                  <c:v>0.22500000000000001</c:v>
                </c:pt>
                <c:pt idx="13">
                  <c:v>0.2</c:v>
                </c:pt>
                <c:pt idx="14">
                  <c:v>0.18124999999999999</c:v>
                </c:pt>
                <c:pt idx="15">
                  <c:v>0.16250000000000001</c:v>
                </c:pt>
                <c:pt idx="16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61-4AAE-910D-8AD91712E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617887"/>
        <c:axId val="1695617407"/>
      </c:barChart>
      <c:catAx>
        <c:axId val="1695617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Weather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407"/>
        <c:crosses val="autoZero"/>
        <c:auto val="1"/>
        <c:lblAlgn val="ctr"/>
        <c:lblOffset val="100"/>
        <c:noMultiLvlLbl val="0"/>
      </c:catAx>
      <c:valAx>
        <c:axId val="16956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Finish Percentage/DNF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and Average Fastest</a:t>
            </a:r>
            <a:r>
              <a:rPr lang="pl-PL" baseline="0"/>
              <a:t> Lap Top Speed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AgeGroup!$B$12</c:f>
              <c:strCache>
                <c:ptCount val="1"/>
                <c:pt idx="0">
                  <c:v>Win Percentage from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AgeGroup!$B$13:$B$18</c:f>
              <c:numCache>
                <c:formatCode>0.00%</c:formatCode>
                <c:ptCount val="5"/>
                <c:pt idx="0">
                  <c:v>7.1859063514140009E-2</c:v>
                </c:pt>
                <c:pt idx="1">
                  <c:v>9.3840230991337828E-2</c:v>
                </c:pt>
                <c:pt idx="2">
                  <c:v>7.8502634926403775E-2</c:v>
                </c:pt>
                <c:pt idx="3">
                  <c:v>4.2005040604872583E-2</c:v>
                </c:pt>
                <c:pt idx="4">
                  <c:v>1.8518518518518517E-2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6125647"/>
        <c:axId val="536127087"/>
      </c:barChart>
      <c:lineChart>
        <c:grouping val="standard"/>
        <c:varyColors val="0"/>
        <c:ser>
          <c:idx val="1"/>
          <c:order val="1"/>
          <c:tx>
            <c:strRef>
              <c:f>AgeGroup!$C$12</c:f>
              <c:strCache>
                <c:ptCount val="1"/>
                <c:pt idx="0">
                  <c:v>Average Fastest Lap Top Speed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AgeGroup!$C$13:$C$18</c:f>
              <c:numCache>
                <c:formatCode>#\ ##0.000</c:formatCode>
                <c:ptCount val="5"/>
                <c:pt idx="0">
                  <c:v>204.97563624511076</c:v>
                </c:pt>
                <c:pt idx="1">
                  <c:v>205.16611265899439</c:v>
                </c:pt>
                <c:pt idx="2">
                  <c:v>203.2058367206337</c:v>
                </c:pt>
                <c:pt idx="3">
                  <c:v>204.29969566736577</c:v>
                </c:pt>
                <c:pt idx="4">
                  <c:v>200.14666666666656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129007"/>
        <c:axId val="536128527"/>
      </c:lineChart>
      <c:catAx>
        <c:axId val="536125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</a:t>
                </a:r>
                <a:r>
                  <a:rPr lang="pl-PL" baseline="0"/>
                  <a:t> Group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7087"/>
        <c:crosses val="autoZero"/>
        <c:auto val="1"/>
        <c:lblAlgn val="ctr"/>
        <c:lblOffset val="100"/>
        <c:noMultiLvlLbl val="0"/>
      </c:catAx>
      <c:valAx>
        <c:axId val="53612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5647"/>
        <c:crosses val="autoZero"/>
        <c:crossBetween val="between"/>
      </c:valAx>
      <c:valAx>
        <c:axId val="53612852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Top Speed km/h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#\ ##0.0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9007"/>
        <c:crosses val="max"/>
        <c:crossBetween val="between"/>
      </c:valAx>
      <c:catAx>
        <c:axId val="5361290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61285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DNF Percentage</a:t>
            </a:r>
            <a:r>
              <a:rPr lang="pl-PL" baseline="0"/>
              <a:t> and Average Finish Position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AgeGroup!$C$1</c:f>
              <c:strCache>
                <c:ptCount val="1"/>
                <c:pt idx="0">
                  <c:v>Average Finish Position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AgeGroup!$C$2:$C$7</c:f>
              <c:numCache>
                <c:formatCode>General</c:formatCode>
                <c:ptCount val="5"/>
                <c:pt idx="0">
                  <c:v>22.692165044042653</c:v>
                </c:pt>
                <c:pt idx="1">
                  <c:v>21.970163618864294</c:v>
                </c:pt>
                <c:pt idx="2">
                  <c:v>23.093403598037433</c:v>
                </c:pt>
                <c:pt idx="3">
                  <c:v>20.745169420330441</c:v>
                </c:pt>
                <c:pt idx="4">
                  <c:v>16.462962962962962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2054639"/>
        <c:axId val="532057039"/>
      </c:barChart>
      <c:lineChart>
        <c:grouping val="standard"/>
        <c:varyColors val="0"/>
        <c:ser>
          <c:idx val="0"/>
          <c:order val="0"/>
          <c:tx>
            <c:strRef>
              <c:f>AgeGroup!$B$1</c:f>
              <c:strCache>
                <c:ptCount val="1"/>
                <c:pt idx="0">
                  <c:v>DNF Percentage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AgeGroup!$B$2:$B$7</c:f>
              <c:numCache>
                <c:formatCode>0.00%</c:formatCode>
                <c:ptCount val="5"/>
                <c:pt idx="0">
                  <c:v>0.44833759590792838</c:v>
                </c:pt>
                <c:pt idx="1">
                  <c:v>0.43169697798441131</c:v>
                </c:pt>
                <c:pt idx="2">
                  <c:v>0.43795322234705342</c:v>
                </c:pt>
                <c:pt idx="3">
                  <c:v>0.36974938228026827</c:v>
                </c:pt>
                <c:pt idx="4">
                  <c:v>0.28947368421052633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4284335"/>
        <c:axId val="1224282415"/>
      </c:lineChart>
      <c:catAx>
        <c:axId val="122428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 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2415"/>
        <c:crosses val="autoZero"/>
        <c:auto val="1"/>
        <c:lblAlgn val="ctr"/>
        <c:lblOffset val="100"/>
        <c:noMultiLvlLbl val="0"/>
      </c:catAx>
      <c:valAx>
        <c:axId val="122428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4335"/>
        <c:crosses val="autoZero"/>
        <c:crossBetween val="between"/>
      </c:valAx>
      <c:valAx>
        <c:axId val="53205703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054639"/>
        <c:crosses val="max"/>
        <c:crossBetween val="between"/>
      </c:valAx>
      <c:catAx>
        <c:axId val="5320546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20570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Top 10</a:t>
            </a:r>
            <a:r>
              <a:rPr lang="pl-PL" baseline="0"/>
              <a:t> reasons for Mechanical Failure for European Constructors in 2010-2020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Mechanical'!$G$5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F9-42E0-A89B-3C53AED1CB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F9-42E0-A89B-3C53AED1CB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CF9-42E0-A89B-3C53AED1CB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CF9-42E0-A89B-3C53AED1CB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CF9-42E0-A89B-3C53AED1CB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CF9-42E0-A89B-3C53AED1CB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CF9-42E0-A89B-3C53AED1CB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CF9-42E0-A89B-3C53AED1CB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CF9-42E0-A89B-3C53AED1CB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CF9-42E0-A89B-3C53AED1CB29}"/>
              </c:ext>
            </c:extLst>
          </c:dPt>
          <c:cat>
            <c:strRef>
              <c:f>'Top 10 reasons for Mechanical'!$F$6:$F$16</c:f>
              <c:strCache>
                <c:ptCount val="10"/>
                <c:pt idx="0">
                  <c:v>Engine</c:v>
                </c:pt>
                <c:pt idx="1">
                  <c:v>Gearbox</c:v>
                </c:pt>
                <c:pt idx="2">
                  <c:v>Brakes</c:v>
                </c:pt>
                <c:pt idx="3">
                  <c:v>Suspension</c:v>
                </c:pt>
                <c:pt idx="4">
                  <c:v>Power Unit</c:v>
                </c:pt>
                <c:pt idx="5">
                  <c:v>Hydraulics</c:v>
                </c:pt>
                <c:pt idx="6">
                  <c:v>Wheel</c:v>
                </c:pt>
                <c:pt idx="7">
                  <c:v>Electrical</c:v>
                </c:pt>
                <c:pt idx="8">
                  <c:v>Puncture</c:v>
                </c:pt>
                <c:pt idx="9">
                  <c:v>Mechanical</c:v>
                </c:pt>
              </c:strCache>
            </c:strRef>
          </c:cat>
          <c:val>
            <c:numRef>
              <c:f>'Top 10 reasons for Mechanical'!$G$6:$G$16</c:f>
              <c:numCache>
                <c:formatCode>General</c:formatCode>
                <c:ptCount val="10"/>
                <c:pt idx="0">
                  <c:v>70</c:v>
                </c:pt>
                <c:pt idx="1">
                  <c:v>47</c:v>
                </c:pt>
                <c:pt idx="2">
                  <c:v>37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17</c:v>
                </c:pt>
                <c:pt idx="7">
                  <c:v>15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D-4526-B84B-726C4A40E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10 reasons for Mechanical Failure for European Constructors in 1950-1960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00B0F0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3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bg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7B-4A24-9AEC-ECB739D7B8A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3CC-4B5A-AF83-12233087115A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3CC-4B5A-AF83-12233087115A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3CC-4B5A-AF83-12233087115A}"/>
              </c:ext>
            </c:extLst>
          </c:dPt>
          <c:dPt>
            <c:idx val="4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CC-4B5A-AF83-12233087115A}"/>
              </c:ext>
            </c:extLst>
          </c:dPt>
          <c:dPt>
            <c:idx val="5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CC-4B5A-AF83-12233087115A}"/>
              </c:ext>
            </c:extLst>
          </c:dPt>
          <c:dPt>
            <c:idx val="6"/>
            <c:bubble3D val="0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3CC-4B5A-AF83-12233087115A}"/>
              </c:ext>
            </c:extLst>
          </c:dPt>
          <c:dPt>
            <c:idx val="7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3CC-4B5A-AF83-12233087115A}"/>
              </c:ext>
            </c:extLst>
          </c:dPt>
          <c:dPt>
            <c:idx val="8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3CC-4B5A-AF83-12233087115A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3CC-4B5A-AF83-12233087115A}"/>
              </c:ext>
            </c:extLst>
          </c:dPt>
          <c:cat>
            <c:strRef>
              <c:f>'Top 10 reasons for Mechanical'!$A$6:$A$16</c:f>
              <c:strCache>
                <c:ptCount val="10"/>
                <c:pt idx="0">
                  <c:v>Engine</c:v>
                </c:pt>
                <c:pt idx="1">
                  <c:v>Transmission</c:v>
                </c:pt>
                <c:pt idx="2">
                  <c:v>Gearbox</c:v>
                </c:pt>
                <c:pt idx="3">
                  <c:v>Clutch</c:v>
                </c:pt>
                <c:pt idx="4">
                  <c:v>Overheating</c:v>
                </c:pt>
                <c:pt idx="5">
                  <c:v>Suspension</c:v>
                </c:pt>
                <c:pt idx="6">
                  <c:v>Brakes</c:v>
                </c:pt>
                <c:pt idx="7">
                  <c:v>Oil leak</c:v>
                </c:pt>
                <c:pt idx="8">
                  <c:v>Ignition</c:v>
                </c:pt>
                <c:pt idx="9">
                  <c:v>Axle</c:v>
                </c:pt>
              </c:strCache>
            </c:strRef>
          </c:cat>
          <c:val>
            <c:numRef>
              <c:f>'Top 10 reasons for Mechanical'!$B$6:$B$16</c:f>
              <c:numCache>
                <c:formatCode>General</c:formatCode>
                <c:ptCount val="10"/>
                <c:pt idx="0">
                  <c:v>232</c:v>
                </c:pt>
                <c:pt idx="1">
                  <c:v>70</c:v>
                </c:pt>
                <c:pt idx="2">
                  <c:v>64</c:v>
                </c:pt>
                <c:pt idx="3">
                  <c:v>33</c:v>
                </c:pt>
                <c:pt idx="4">
                  <c:v>31</c:v>
                </c:pt>
                <c:pt idx="5">
                  <c:v>26</c:v>
                </c:pt>
                <c:pt idx="6">
                  <c:v>20</c:v>
                </c:pt>
                <c:pt idx="7">
                  <c:v>17</c:v>
                </c:pt>
                <c:pt idx="8">
                  <c:v>16</c:v>
                </c:pt>
                <c:pt idx="9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CC-4B5A-AF83-122330871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[analysis.xlsx]Podium from in or out weather!PivotTable5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Podium from inside or outside top 10 Grid by Rain and Wind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'Podium from in or out weather'!$B$1:$B$3</c:f>
              <c:strCache>
                <c:ptCount val="1"/>
                <c:pt idx="0">
                  <c:v>No Rain - Podium From Outside Top10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Calm</c:v>
                </c:pt>
                <c:pt idx="1">
                  <c:v>Light Breeze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weather'!$B$4:$B$7</c:f>
              <c:numCache>
                <c:formatCode>General</c:formatCode>
                <c:ptCount val="3"/>
                <c:pt idx="0">
                  <c:v>3</c:v>
                </c:pt>
                <c:pt idx="1">
                  <c:v>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360-9427-2E3DC0650E92}"/>
            </c:ext>
          </c:extLst>
        </c:ser>
        <c:ser>
          <c:idx val="1"/>
          <c:order val="1"/>
          <c:tx>
            <c:strRef>
              <c:f>'Podium from in or out weather'!$C$1:$C$3</c:f>
              <c:strCache>
                <c:ptCount val="1"/>
                <c:pt idx="0">
                  <c:v>No Rain - Podium From Inside Top10 Grid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Calm</c:v>
                </c:pt>
                <c:pt idx="1">
                  <c:v>Light Breeze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weather'!$C$4:$C$7</c:f>
              <c:numCache>
                <c:formatCode>General</c:formatCode>
                <c:ptCount val="3"/>
                <c:pt idx="0">
                  <c:v>132</c:v>
                </c:pt>
                <c:pt idx="1">
                  <c:v>121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360-9427-2E3DC0650E92}"/>
            </c:ext>
          </c:extLst>
        </c:ser>
        <c:ser>
          <c:idx val="2"/>
          <c:order val="2"/>
          <c:tx>
            <c:strRef>
              <c:f>'Podium from in or out weather'!$D$1:$D$3</c:f>
              <c:strCache>
                <c:ptCount val="1"/>
                <c:pt idx="0">
                  <c:v>Rain Occurred - Podium From Outside Top10 Grid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Calm</c:v>
                </c:pt>
                <c:pt idx="1">
                  <c:v>Light Breeze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weather'!$D$4:$D$7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35-4360-9427-2E3DC0650E92}"/>
            </c:ext>
          </c:extLst>
        </c:ser>
        <c:ser>
          <c:idx val="3"/>
          <c:order val="3"/>
          <c:tx>
            <c:strRef>
              <c:f>'Podium from in or out weather'!$E$1:$E$3</c:f>
              <c:strCache>
                <c:ptCount val="1"/>
                <c:pt idx="0">
                  <c:v>Rain Occurred - Podium From Inside Top10 Grid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Calm</c:v>
                </c:pt>
                <c:pt idx="1">
                  <c:v>Light Breeze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weather'!$E$4:$E$7</c:f>
              <c:numCache>
                <c:formatCode>General</c:formatCode>
                <c:ptCount val="3"/>
                <c:pt idx="0">
                  <c:v>39</c:v>
                </c:pt>
                <c:pt idx="1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35-4360-9427-2E3DC0650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7221487"/>
        <c:axId val="1327222447"/>
      </c:barChart>
      <c:catAx>
        <c:axId val="13272214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Wind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2447"/>
        <c:crosses val="autoZero"/>
        <c:auto val="1"/>
        <c:lblAlgn val="ctr"/>
        <c:lblOffset val="100"/>
        <c:noMultiLvlLbl val="0"/>
      </c:catAx>
      <c:valAx>
        <c:axId val="1327222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Percentage of podium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Race Time in Autodromo 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Race Time in</a:t>
            </a:r>
            <a:r>
              <a:rPr lang="pl-PL" baseline="0"/>
              <a:t> Autodromo Nazionale di Monza by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Race Time in Autodromo 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Race Time in Autodromo '!$A$4:$A$78</c:f>
              <c:strCach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</c:strCache>
            </c:strRef>
          </c:cat>
          <c:val>
            <c:numRef>
              <c:f>'Average Race Time in Autodromo '!$B$4:$B$78</c:f>
              <c:numCache>
                <c:formatCode>#\ ##0.000</c:formatCode>
                <c:ptCount val="74"/>
                <c:pt idx="0">
                  <c:v>10335466.666666666</c:v>
                </c:pt>
                <c:pt idx="1">
                  <c:v>9771600</c:v>
                </c:pt>
                <c:pt idx="2">
                  <c:v>10324950</c:v>
                </c:pt>
                <c:pt idx="3">
                  <c:v>10186600</c:v>
                </c:pt>
                <c:pt idx="4">
                  <c:v>10067900</c:v>
                </c:pt>
                <c:pt idx="5">
                  <c:v>8775500</c:v>
                </c:pt>
                <c:pt idx="6">
                  <c:v>8625100</c:v>
                </c:pt>
                <c:pt idx="7">
                  <c:v>9324500</c:v>
                </c:pt>
                <c:pt idx="8">
                  <c:v>7445300</c:v>
                </c:pt>
                <c:pt idx="9">
                  <c:v>7495100</c:v>
                </c:pt>
                <c:pt idx="10">
                  <c:v>8543000</c:v>
                </c:pt>
                <c:pt idx="11">
                  <c:v>7493100</c:v>
                </c:pt>
                <c:pt idx="12">
                  <c:v>8995820</c:v>
                </c:pt>
                <c:pt idx="13">
                  <c:v>8707100</c:v>
                </c:pt>
                <c:pt idx="14">
                  <c:v>7884800</c:v>
                </c:pt>
                <c:pt idx="15">
                  <c:v>7516725</c:v>
                </c:pt>
                <c:pt idx="16">
                  <c:v>6438766.666666667</c:v>
                </c:pt>
                <c:pt idx="17">
                  <c:v>6244975</c:v>
                </c:pt>
                <c:pt idx="18">
                  <c:v>6073800</c:v>
                </c:pt>
                <c:pt idx="19">
                  <c:v>5958036</c:v>
                </c:pt>
                <c:pt idx="20">
                  <c:v>5961691.666666667</c:v>
                </c:pt>
                <c:pt idx="21">
                  <c:v>4709468.5714285718</c:v>
                </c:pt>
                <c:pt idx="22">
                  <c:v>5435316.666666667</c:v>
                </c:pt>
                <c:pt idx="23">
                  <c:v>5393785.7142857146</c:v>
                </c:pt>
                <c:pt idx="24">
                  <c:v>5004900</c:v>
                </c:pt>
                <c:pt idx="25">
                  <c:v>5000583.333333333</c:v>
                </c:pt>
                <c:pt idx="26">
                  <c:v>5472763.6363636367</c:v>
                </c:pt>
                <c:pt idx="27">
                  <c:v>5300033.333333333</c:v>
                </c:pt>
                <c:pt idx="28">
                  <c:v>4066579.0909090908</c:v>
                </c:pt>
                <c:pt idx="29">
                  <c:v>4958081.4285714282</c:v>
                </c:pt>
                <c:pt idx="30">
                  <c:v>5248934.2</c:v>
                </c:pt>
                <c:pt idx="31">
                  <c:v>4983324.25</c:v>
                </c:pt>
                <c:pt idx="32">
                  <c:v>5037734</c:v>
                </c:pt>
                <c:pt idx="33">
                  <c:v>4841189.5</c:v>
                </c:pt>
                <c:pt idx="34">
                  <c:v>4722609.5</c:v>
                </c:pt>
                <c:pt idx="35">
                  <c:v>4684527</c:v>
                </c:pt>
                <c:pt idx="36">
                  <c:v>4534194.833333333</c:v>
                </c:pt>
                <c:pt idx="37">
                  <c:v>4703726.125</c:v>
                </c:pt>
                <c:pt idx="38">
                  <c:v>4782805.75</c:v>
                </c:pt>
                <c:pt idx="39">
                  <c:v>4708868.2</c:v>
                </c:pt>
                <c:pt idx="40">
                  <c:v>4707697.5</c:v>
                </c:pt>
                <c:pt idx="41">
                  <c:v>4739363.2</c:v>
                </c:pt>
                <c:pt idx="42">
                  <c:v>4647515</c:v>
                </c:pt>
                <c:pt idx="43">
                  <c:v>4716555.8</c:v>
                </c:pt>
                <c:pt idx="44">
                  <c:v>4725496.75</c:v>
                </c:pt>
                <c:pt idx="45">
                  <c:v>4714750.4000000004</c:v>
                </c:pt>
                <c:pt idx="46">
                  <c:v>4646023.9090909092</c:v>
                </c:pt>
                <c:pt idx="47">
                  <c:v>4674193.333333333</c:v>
                </c:pt>
                <c:pt idx="48">
                  <c:v>4647590.9000000004</c:v>
                </c:pt>
                <c:pt idx="49">
                  <c:v>5293787.833333333</c:v>
                </c:pt>
                <c:pt idx="50">
                  <c:v>4659644.5714285718</c:v>
                </c:pt>
                <c:pt idx="51">
                  <c:v>4635018.5999999996</c:v>
                </c:pt>
                <c:pt idx="52">
                  <c:v>4471408.8</c:v>
                </c:pt>
                <c:pt idx="53">
                  <c:v>4551856.7272727275</c:v>
                </c:pt>
                <c:pt idx="54">
                  <c:v>4508729.0999999996</c:v>
                </c:pt>
                <c:pt idx="55">
                  <c:v>4526991.7</c:v>
                </c:pt>
                <c:pt idx="56">
                  <c:v>4767425</c:v>
                </c:pt>
                <c:pt idx="57">
                  <c:v>5247373</c:v>
                </c:pt>
                <c:pt idx="58">
                  <c:v>4651278.6363636367</c:v>
                </c:pt>
                <c:pt idx="59">
                  <c:v>4621699.461538462</c:v>
                </c:pt>
                <c:pt idx="60">
                  <c:v>4866103</c:v>
                </c:pt>
                <c:pt idx="61">
                  <c:v>4816472.153846154</c:v>
                </c:pt>
                <c:pt idx="62">
                  <c:v>4740358.4666666668</c:v>
                </c:pt>
                <c:pt idx="63">
                  <c:v>4800346.076923077</c:v>
                </c:pt>
                <c:pt idx="64">
                  <c:v>4724407.333333333</c:v>
                </c:pt>
                <c:pt idx="65">
                  <c:v>4690428.4000000004</c:v>
                </c:pt>
                <c:pt idx="66">
                  <c:v>4580867.444444444</c:v>
                </c:pt>
                <c:pt idx="67">
                  <c:v>4648709.444444444</c:v>
                </c:pt>
                <c:pt idx="68">
                  <c:v>4570080.375</c:v>
                </c:pt>
                <c:pt idx="69">
                  <c:v>6447325.8125</c:v>
                </c:pt>
                <c:pt idx="70">
                  <c:v>4931917.4666666668</c:v>
                </c:pt>
                <c:pt idx="71">
                  <c:v>4833085.166666667</c:v>
                </c:pt>
                <c:pt idx="72">
                  <c:v>4469108.9375</c:v>
                </c:pt>
                <c:pt idx="73">
                  <c:v>4523655.153846154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AD-4303-85E1-5F90A8A31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859023"/>
        <c:axId val="1235860463"/>
      </c:lineChart>
      <c:catAx>
        <c:axId val="123585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60463"/>
        <c:crosses val="autoZero"/>
        <c:auto val="1"/>
        <c:lblAlgn val="ctr"/>
        <c:lblOffset val="100"/>
        <c:noMultiLvlLbl val="0"/>
      </c:catAx>
      <c:valAx>
        <c:axId val="123586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5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[analysis.xlsx]Sheet1!PivotTable1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ofPieChart>
        <c:ofPieType val="pie"/>
        <c:varyColors val="1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Sheet1!$A$2:$A$8</c:f>
              <c:strCache>
                <c:ptCount val="6"/>
                <c:pt idx="0">
                  <c:v>Accident/Incident</c:v>
                </c:pt>
                <c:pt idx="1">
                  <c:v>Driver Issue</c:v>
                </c:pt>
                <c:pt idx="2">
                  <c:v>Mechanical Failure</c:v>
                </c:pt>
                <c:pt idx="3">
                  <c:v>Pre-Race/Qualification</c:v>
                </c:pt>
                <c:pt idx="4">
                  <c:v>Race Outcome</c:v>
                </c:pt>
                <c:pt idx="5">
                  <c:v>Sporting/Regulatory</c:v>
                </c:pt>
              </c:strCache>
            </c:strRef>
          </c:cat>
          <c:val>
            <c:numRef>
              <c:f>Sheet1!$B$2:$B$8</c:f>
              <c:numCache>
                <c:formatCode>General</c:formatCode>
                <c:ptCount val="6"/>
                <c:pt idx="0">
                  <c:v>2781</c:v>
                </c:pt>
                <c:pt idx="1">
                  <c:v>65</c:v>
                </c:pt>
                <c:pt idx="2">
                  <c:v>6696</c:v>
                </c:pt>
                <c:pt idx="3">
                  <c:v>1356</c:v>
                </c:pt>
                <c:pt idx="4">
                  <c:v>15441</c:v>
                </c:pt>
                <c:pt idx="5">
                  <c:v>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22-4AD5-BA83-D322A2EE4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1114423</xdr:colOff>
      <xdr:row>9</xdr:row>
      <xdr:rowOff>61911</xdr:rowOff>
    </xdr:from>
    <xdr:to>
      <xdr:col>13</xdr:col>
      <xdr:colOff>285749</xdr:colOff>
      <xdr:row>35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555E1B-1874-32F4-AA75-F9EE449A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494714</xdr:colOff>
      <xdr:row>4</xdr:row>
      <xdr:rowOff>113508</xdr:rowOff>
    </xdr:from>
    <xdr:to>
      <xdr:col>15</xdr:col>
      <xdr:colOff>457199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B3178-01B5-C6F5-9421-4C07A059C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6</xdr:row>
      <xdr:rowOff>85725</xdr:rowOff>
    </xdr:from>
    <xdr:to>
      <xdr:col>15</xdr:col>
      <xdr:colOff>561974</xdr:colOff>
      <xdr:row>29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9620D-591F-F2A8-4535-97885098E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15</xdr:row>
      <xdr:rowOff>128585</xdr:rowOff>
    </xdr:from>
    <xdr:to>
      <xdr:col>15</xdr:col>
      <xdr:colOff>437030</xdr:colOff>
      <xdr:row>43</xdr:row>
      <xdr:rowOff>134470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86C579-6FC2-5B80-F451-E098D1B1E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161924</xdr:colOff>
      <xdr:row>2</xdr:row>
      <xdr:rowOff>119062</xdr:rowOff>
    </xdr:from>
    <xdr:to>
      <xdr:col>15</xdr:col>
      <xdr:colOff>600075</xdr:colOff>
      <xdr:row>26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4C588-7B6C-4953-FC85-E92756A5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352424</xdr:colOff>
      <xdr:row>2</xdr:row>
      <xdr:rowOff>23811</xdr:rowOff>
    </xdr:from>
    <xdr:to>
      <xdr:col>15</xdr:col>
      <xdr:colOff>438150</xdr:colOff>
      <xdr:row>32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FA528F-70B9-EAF7-F951-BD14D70D1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11</xdr:row>
      <xdr:rowOff>171450</xdr:rowOff>
    </xdr:from>
    <xdr:to>
      <xdr:col>17</xdr:col>
      <xdr:colOff>9525</xdr:colOff>
      <xdr:row>33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D48D6E-7946-DC9D-2FF4-1A94D9AAEF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314324</xdr:colOff>
      <xdr:row>18</xdr:row>
      <xdr:rowOff>142875</xdr:rowOff>
    </xdr:from>
    <xdr:to>
      <xdr:col>4</xdr:col>
      <xdr:colOff>333374</xdr:colOff>
      <xdr:row>36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072041-BDCF-D581-C01C-C33F7F7A5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18</xdr:row>
      <xdr:rowOff>152400</xdr:rowOff>
    </xdr:from>
    <xdr:to>
      <xdr:col>20</xdr:col>
      <xdr:colOff>66675</xdr:colOff>
      <xdr:row>38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D5029-306C-D7CC-BA3E-46F30E01D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285750</xdr:colOff>
      <xdr:row>0</xdr:row>
      <xdr:rowOff>0</xdr:rowOff>
    </xdr:from>
    <xdr:to>
      <xdr:col>20</xdr:col>
      <xdr:colOff>38099</xdr:colOff>
      <xdr:row>18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4C1009-1125-7854-5859-C5AE75647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923926</xdr:colOff>
      <xdr:row>2</xdr:row>
      <xdr:rowOff>190499</xdr:rowOff>
    </xdr:from>
    <xdr:to>
      <xdr:col>6</xdr:col>
      <xdr:colOff>19051</xdr:colOff>
      <xdr:row>33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A5B97-79E3-B044-5DA1-1F14E45172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314324</xdr:colOff>
      <xdr:row>1</xdr:row>
      <xdr:rowOff>133350</xdr:rowOff>
    </xdr:from>
    <xdr:to>
      <xdr:col>14</xdr:col>
      <xdr:colOff>466725</xdr:colOff>
      <xdr:row>26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FEB8FB-7B6C-DA9D-F212-E20A962668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753717</xdr:colOff>
      <xdr:row>4</xdr:row>
      <xdr:rowOff>44725</xdr:rowOff>
    </xdr:from>
    <xdr:to>
      <xdr:col>11</xdr:col>
      <xdr:colOff>289892</xdr:colOff>
      <xdr:row>29</xdr:row>
      <xdr:rowOff>173934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EB8BB-2473-5D41-0EA1-BE413F019E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284374997" backgroundQuery="1" createdVersion="8" refreshedVersion="8" minRefreshableVersion="3" recordCount="0" supportSubquery="1" supportAdvancedDrill="1" xr:uid="{7D06339B-CF30-4D37-AE3F-EEB11A431A55}">
  <cacheSource type="external" connectionId="1"/>
  <cacheFields count="5"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Weather].[Humidity Category].[Humidity Category]" caption="Humidity Category" numFmtId="0" hierarchy="40" level="1">
      <sharedItems count="5">
        <s v="[Dim Weather].[Humidity Category].&amp;[Comfortable]" c="Comfortable"/>
        <s v="[Dim Weather].[Humidity Category].&amp;[Dry]" c="Dry"/>
        <s v="[Dim Weather].[Humidity Category].&amp;[Humid]" c="Humid"/>
        <s v="[Dim Weather].[Humidity Category].&amp;[Very Dry]" c="Very Dry"/>
        <s v="[Dim Weather].[Humidity Category].&amp;[Very Humid]" c="Very Humid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Podium From Outside Top10 Grid]" caption="Podium From Outside Top10 Grid" numFmtId="0" hierarchy="61" level="32767"/>
    <cacheField name="[Measures].[Podium From Inside Top10 Grid]" caption="Podium From Inside Top10 Grid" numFmtId="0" hierarchy="62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2" unbalanced="0">
      <fieldsUsage count="2">
        <fieldUsage x="-1"/>
        <fieldUsage x="1"/>
      </fieldsUsage>
    </cacheHierarchy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 oneField="1">
      <fieldsUsage count="1">
        <fieldUsage x="3"/>
      </fieldsUsage>
    </cacheHierarchy>
    <cacheHierarchy uniqueName="[Measures].[Podium From Inside Top10 Grid]" caption="Podium From Inside Top10 Grid" measure="1" displayFolder="" measureGroup="Fact Result" count="0" oneField="1">
      <fieldsUsage count="1">
        <fieldUsage x="4"/>
      </fieldsUsage>
    </cacheHierarchy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iconSet="10" displayFolder="" count="0" hidden="1"/>
    <cacheHierarchy uniqueName="[Measures].[Constructor Reliability KPI Trend]" caption="Constructor Reliability KPI (Trend)" measure="1" iconSet="3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28634259" backgroundQuery="1" createdVersion="8" refreshedVersion="8" minRefreshableVersion="3" recordCount="0" supportSubquery="1" supportAdvancedDrill="1" xr:uid="{8FE8892F-6B13-44C4-9323-FDA7B9542767}">
  <cacheSource type="external" connectionId="1"/>
  <cacheFields count="5">
    <cacheField name="[Dim Status].[Status Description].[Status Description]" caption="Status Description" numFmtId="0" hierarchy="26" level="1">
      <sharedItems count="10">
        <s v="[Dim Status].[Status Description].&amp;[Brakes]" c="Brakes"/>
        <s v="[Dim Status].[Status Description].&amp;[Electrical]" c="Electrical"/>
        <s v="[Dim Status].[Status Description].&amp;[Engine]" c="Engine"/>
        <s v="[Dim Status].[Status Description].&amp;[Gearbox]" c="Gearbox"/>
        <s v="[Dim Status].[Status Description].&amp;[Hydraulics]" c="Hydraulics"/>
        <s v="[Dim Status].[Status Description].&amp;[Mechanical]" c="Mechanical"/>
        <s v="[Dim Status].[Status Description].&amp;[Power Unit]" c="Power Unit"/>
        <s v="[Dim Status].[Status Description].&amp;[Puncture]" c="Puncture"/>
        <s v="[Dim Status].[Status Description].&amp;[Suspension]" c="Suspension"/>
        <s v="[Dim Status].[Status Description].&amp;[Wheel]" c="Wheel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4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288888892" backgroundQuery="1" createdVersion="8" refreshedVersion="8" minRefreshableVersion="3" recordCount="0" supportSubquery="1" supportAdvancedDrill="1" xr:uid="{22B37FF6-6A8A-4281-AC48-8C27DD0DC8A1}">
  <cacheSource type="external" connectionId="1"/>
  <cacheFields count="6">
    <cacheField name="[Dim Status].[Status Description].[Status Description]" caption="Status Description" numFmtId="0" hierarchy="26" level="1">
      <sharedItems count="10">
        <s v="[Dim Status].[Status Description].&amp;[Axle]" c="Axle"/>
        <s v="[Dim Status].[Status Description].&amp;[Brakes]" c="Brakes"/>
        <s v="[Dim Status].[Status Description].&amp;[Clutch]" c="Clutch"/>
        <s v="[Dim Status].[Status Description].&amp;[Engine]" c="Engine"/>
        <s v="[Dim Status].[Status Description].&amp;[Gearbox]" c="Gearbox"/>
        <s v="[Dim Status].[Status Description].&amp;[Ignition]" c="Ignition"/>
        <s v="[Dim Status].[Status Description].&amp;[Oil leak]" c="Oil leak"/>
        <s v="[Dim Status].[Status Description].&amp;[Overheating]" c="Overheating"/>
        <s v="[Dim Status].[Status Description].&amp;[Suspension]" c="Suspension"/>
        <s v="[Dim Status].[Status Description].&amp;[Transmission]" c="Transmission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untry Name].[Country Name]" caption="Country Name" numFmtId="0" hierarchy="13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5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2" unbalanced="0">
      <fieldsUsage count="2">
        <fieldUsage x="-1"/>
        <fieldUsage x="4"/>
      </fieldsUsage>
    </cacheHierarchy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293634257" backgroundQuery="1" createdVersion="8" refreshedVersion="8" minRefreshableVersion="3" recordCount="0" supportSubquery="1" supportAdvancedDrill="1" xr:uid="{91EA7F40-35C5-4637-AD47-C1EF62F40064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DNF Percentage]" caption="DNF Percentage" numFmtId="0" hierarchy="75" level="32767"/>
    <cacheField name="[Measures].[Average Finish Position]" caption="Average Finish Position" numFmtId="0" hierarchy="72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2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 oneField="1">
      <fieldsUsage count="1">
        <fieldUsage x="1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298148145" backgroundQuery="1" createdVersion="8" refreshedVersion="8" minRefreshableVersion="3" recordCount="0" supportSubquery="1" supportAdvancedDrill="1" xr:uid="{5251863D-400F-43FD-A0F1-A4BBAAFEDC07}">
  <cacheSource type="external" connectionId="1"/>
  <cacheFields count="5">
    <cacheField name="[Dim Weather].[Did Rain Occur].[Did Rain Occur]" caption="Did Rain Occur" numFmtId="0" hierarchy="39" level="1">
      <sharedItems count="2">
        <s v="[Dim Weather].[Did Rain Occur].&amp;[No Rain]" c="No Rain"/>
        <s v="[Dim Weather].[Did Rain Occur].&amp;[Rain Occurred]" c="Rain Occurred"/>
      </sharedItems>
    </cacheField>
    <cacheField name="[Dim Weather].[Track Temp Category].[Track Temp Category]" caption="Track Temp Category" numFmtId="0" hierarchy="42" level="1">
      <sharedItems count="4">
        <s v="[Dim Weather].[Track Temp Category].&amp;[Cool Track]" c="Cool Track"/>
        <s v="[Dim Weather].[Track Temp Category].&amp;[Hot Track]" c="Hot Track"/>
        <s v="[Dim Weather].[Track Temp Category].&amp;[Optimal Track]" c="Optimal Track"/>
        <s v="[Dim Weather].[Track Temp Category].&amp;[Very Hot Track]" c="Very Hot Track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DNF Percentage]" caption="DNF Percentage" numFmtId="0" hierarchy="75" level="32767"/>
    <cacheField name="[Measures].[Finish Percentage]" caption="Finish Percentage" numFmtId="0" hierarchy="74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2" unbalanced="0">
      <fieldsUsage count="2">
        <fieldUsage x="-1"/>
        <fieldUsage x="1"/>
      </fieldsUsage>
    </cacheHierarchy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 oneField="1">
      <fieldsUsage count="1">
        <fieldUsage x="4"/>
      </fieldsUsage>
    </cacheHierarchy>
    <cacheHierarchy uniqueName="[Measures].[DNF Percentage]" caption="DNF Percentage" measure="1" displayFolder="" count="0" oneField="1">
      <fieldsUsage count="1">
        <fieldUsage x="3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01157408" backgroundQuery="1" createdVersion="8" refreshedVersion="8" minRefreshableVersion="3" recordCount="0" supportSubquery="1" supportAdvancedDrill="1" xr:uid="{3962C440-443E-4D75-B22B-0E43959F42B2}">
  <cacheSource type="external" connectionId="1"/>
  <cacheFields count="4">
    <cacheField name="[Degenerate Details].[Grid Position].[Grid Position]" caption="Grid Position" numFmtId="0" hierarchy="4" level="1">
      <sharedItems count="30">
        <s v="[Degenerate Details].[Grid Position].&amp;[1]" c="1"/>
        <s v="[Degenerate Details].[Grid Position].&amp;[2]" c="2"/>
        <s v="[Degenerate Details].[Grid Position].&amp;[3]" c="3"/>
        <s v="[Degenerate Details].[Grid Position].&amp;[4]" c="4"/>
        <s v="[Degenerate Details].[Grid Position].&amp;[5]" c="5"/>
        <s v="[Degenerate Details].[Grid Position].&amp;[6]" c="6"/>
        <s v="[Degenerate Details].[Grid Position].&amp;[7]" c="7"/>
        <s v="[Degenerate Details].[Grid Position].&amp;[8]" c="8"/>
        <s v="[Degenerate Details].[Grid Position].&amp;[9]" c="9"/>
        <s v="[Degenerate Details].[Grid Position].&amp;[10]" c="10"/>
        <s v="[Degenerate Details].[Grid Position].&amp;[11]" c="11"/>
        <s v="[Degenerate Details].[Grid Position].&amp;[12]" c="12"/>
        <s v="[Degenerate Details].[Grid Position].&amp;[13]" c="13"/>
        <s v="[Degenerate Details].[Grid Position].&amp;[14]" c="14"/>
        <s v="[Degenerate Details].[Grid Position].&amp;[15]" c="15"/>
        <s v="[Degenerate Details].[Grid Position].&amp;[16]" c="16"/>
        <s v="[Degenerate Details].[Grid Position].&amp;[17]" c="17"/>
        <s v="[Degenerate Details].[Grid Position].&amp;[18]" c="18"/>
        <s v="[Degenerate Details].[Grid Position].&amp;[19]" c="19"/>
        <s v="[Degenerate Details].[Grid Position].&amp;[20]" c="20"/>
        <s v="[Degenerate Details].[Grid Position].&amp;[21]" c="21"/>
        <s v="[Degenerate Details].[Grid Position].&amp;[22]" c="22"/>
        <s v="[Degenerate Details].[Grid Position].&amp;[23]" c="23"/>
        <s v="[Degenerate Details].[Grid Position].&amp;[24]" c="24"/>
        <s v="[Degenerate Details].[Grid Position].&amp;[25]" c="25"/>
        <s v="[Degenerate Details].[Grid Position].&amp;[26]" c="26"/>
        <s v="[Degenerate Details].[Grid Position].&amp;[28]" u="1" c="28"/>
        <s v="[Degenerate Details].[Grid Position].&amp;[29]" u="1" c="29"/>
        <s v="[Degenerate Details].[Grid Position].&amp;[31]" u="1" c="31"/>
        <s v="[Degenerate Details].[Grid Position].&amp;[32]" u="1" c="32"/>
      </sharedItems>
    </cacheField>
    <cacheField name="[Measures].[Average Finish Position]" caption="Average Finish Position" numFmtId="0" hierarchy="72" level="32767"/>
    <cacheField name="[Dim Race].[Race Name Official].[Race Name Official]" caption="Race Name Official" numFmtId="0" hierarchy="22" level="1">
      <sharedItems containsSemiMixedTypes="0" containsString="0"/>
    </cacheField>
    <cacheField name="[Dim Time].[Year].[Year]" caption="Year" numFmtId="0" hierarchy="37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2" unbalanced="0">
      <fieldsUsage count="2">
        <fieldUsage x="-1"/>
        <fieldUsage x="0"/>
      </fieldsUsage>
    </cacheHierarchy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2" unbalanced="0">
      <fieldsUsage count="2">
        <fieldUsage x="-1"/>
        <fieldUsage x="2"/>
      </fieldsUsage>
    </cacheHierarchy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1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04050925" backgroundQuery="1" createdVersion="8" refreshedVersion="8" minRefreshableVersion="3" recordCount="0" supportSubquery="1" supportAdvancedDrill="1" xr:uid="{28154DEC-1536-40EA-A99D-9B5AD219ACD3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6">
        <s v="[Dim Constructor].[Name].&amp;[Ferrari]" c="Ferrari"/>
        <s v="[Dim Constructor].[Name].&amp;[Lotus F1]" c="Lotus F1"/>
        <s v="[Dim Constructor].[Name].&amp;[McLaren]" c="McLaren"/>
        <s v="[Dim Constructor].[Name].&amp;[Mercedes]" c="Mercedes"/>
        <s v="[Dim Constructor].[Name].&amp;[Red Bull]" c="Red Bull"/>
        <s v="[Dim Constructor].[Name].&amp;[Brawn]" u="1" c="Brawn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06944443" backgroundQuery="1" createdVersion="8" refreshedVersion="8" minRefreshableVersion="3" recordCount="0" supportSubquery="1" supportAdvancedDrill="1" xr:uid="{C10063E3-D4E7-473D-BD5C-4113D4AFFA08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23">
        <s v="[Dim Constructor].[Name].&amp;[Alfa Romeo]" c="Alfa Romeo"/>
        <s v="[Dim Constructor].[Name].&amp;[AlphaTauri]" c="AlphaTauri"/>
        <s v="[Dim Constructor].[Name].&amp;[Alpine F1 Team]" c="Alpine F1 Team"/>
        <s v="[Dim Constructor].[Name].&amp;[Aston Martin]" c="Aston Martin"/>
        <s v="[Dim Constructor].[Name].&amp;[Caterham]" c="Caterham"/>
        <s v="[Dim Constructor].[Name].&amp;[Ferrari]" c="Ferrari"/>
        <s v="[Dim Constructor].[Name].&amp;[Force India]" c="Force India"/>
        <s v="[Dim Constructor].[Name].&amp;[Haas F1 Team]" c="Haas F1 Team"/>
        <s v="[Dim Constructor].[Name].&amp;[HRT]" c="HRT"/>
        <s v="[Dim Constructor].[Name].&amp;[Lotus]" c="Lotus"/>
        <s v="[Dim Constructor].[Name].&amp;[Lotus F1]" c="Lotus F1"/>
        <s v="[Dim Constructor].[Name].&amp;[Manor Marussia]" c="Manor Marussia"/>
        <s v="[Dim Constructor].[Name].&amp;[Marussia]" c="Marussia"/>
        <s v="[Dim Constructor].[Name].&amp;[McLaren]" c="McLaren"/>
        <s v="[Dim Constructor].[Name].&amp;[Mercedes]" c="Mercedes"/>
        <s v="[Dim Constructor].[Name].&amp;[Racing Point]" c="Racing Point"/>
        <s v="[Dim Constructor].[Name].&amp;[RB F1 Team]" c="RB F1 Team"/>
        <s v="[Dim Constructor].[Name].&amp;[Red Bull]" c="Red Bull"/>
        <s v="[Dim Constructor].[Name].&amp;[Renault]" c="Renault"/>
        <s v="[Dim Constructor].[Name].&amp;[Sauber]" c="Sauber"/>
        <s v="[Dim Constructor].[Name].&amp;[Toro Rosso]" c="Toro Rosso"/>
        <s v="[Dim Constructor].[Name].&amp;[Virgin]" c="Virgin"/>
        <s v="[Dim Constructor].[Name].&amp;[Williams]" c="Williams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10069445" backgroundQuery="1" createdVersion="8" refreshedVersion="8" minRefreshableVersion="3" recordCount="0" supportSubquery="1" supportAdvancedDrill="1" xr:uid="{6819B2E0-02BE-4505-B7D4-5934BA61994A}">
  <cacheSource type="external" connectionId="1"/>
  <cacheFields count="4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26">
        <s v="[Dim Driver].[Full Name].&amp;[Antonio Giovinazzi]" c="Antonio Giovinazzi"/>
        <s v="[Dim Driver].[Full Name].&amp;[Carlos Sainz]" c="Carlos Sainz"/>
        <s v="[Dim Driver].[Full Name].&amp;[Charles Leclerc]" c="Charles Leclerc"/>
        <s v="[Dim Driver].[Full Name].&amp;[Daniil Kvyat]" c="Daniil Kvyat"/>
        <s v="[Dim Driver].[Full Name].&amp;[Esteban Ocon]" c="Esteban Ocon"/>
        <s v="[Dim Driver].[Full Name].&amp;[Fernando Alonso]" c="Fernando Alonso"/>
        <s v="[Dim Driver].[Full Name].&amp;[George Russell]" c="George Russell"/>
        <s v="[Dim Driver].[Full Name].&amp;[Jack Aitken]" c="Jack Aitken"/>
        <s v="[Dim Driver].[Full Name].&amp;[Kevin Magnussen]" c="Kevin Magnussen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rcus Ericsson]" c="Marcus Ericsson"/>
        <s v="[Dim Driver].[Full Name].&amp;[Max Verstappen]" c="Max Verstappen"/>
        <s v="[Dim Driver].[Full Name].&amp;[Mick Schumacher]" c="Mick Schumacher"/>
        <s v="[Dim Driver].[Full Name].&amp;[Nico Hülkenberg]" c="Nico Hülkenberg"/>
        <s v="[Dim Driver].[Full Name].&amp;[Nikita Mazepin]" c="Nikita Mazepin"/>
        <s v="[Dim Driver].[Full Name].&amp;[Nyck de Vries]" c="Nyck de Vries"/>
        <s v="[Dim Driver].[Full Name].&amp;[Oliver Bearman]" c="Oliver Bearman"/>
        <s v="[Dim Driver].[Full Name].&amp;[Pierre Gasly]" c="Pierre Gasly"/>
        <s v="[Dim Driver].[Full Name].&amp;[Robert Kubica]" c="Robert Kubica"/>
        <s v="[Dim Driver].[Full Name].&amp;[Romain Grosjean]" c="Romain Grosjean"/>
        <s v="[Dim Driver].[Full Name].&amp;[Sebastian Vettel]" c="Sebastian Vettel"/>
        <s v="[Dim Driver].[Full Name].&amp;[Sergey Sirotkin]" c="Sergey Sirotkin"/>
        <s v="[Dim Driver].[Full Name].&amp;[Stoffel Vandoorne]" c="Stoffel Vandoorne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13078701" backgroundQuery="1" createdVersion="8" refreshedVersion="8" minRefreshableVersion="3" recordCount="0" supportSubquery="1" supportAdvancedDrill="1" xr:uid="{70BBC5B2-939A-459F-88F4-8193C9E44ED3}">
  <cacheSource type="external" connectionId="1"/>
  <cacheFields count="5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9">
        <s v="[Dim Driver].[Full Name].&amp;[Carlos Sainz]" c="Carlos Sainz"/>
        <s v="[Dim Driver].[Full Name].&amp;[Charles Leclerc]" c="Charles Leclerc"/>
        <s v="[Dim Driver].[Full Name].&amp;[George Russell]" c="George Russell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x Verstappen]" c="Max Verstappen"/>
        <s v="[Dim Driver].[Full Name].&amp;[Sebastian Vettel]" c="Sebastian Vettel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  <cacheField name="[Dim Race].[Year Season].[Year Season]" caption="Year Season" numFmtId="0" hierarchy="24" level="1">
      <sharedItems count="7">
        <s v="[Dim Race].[Year Season].&amp;[2018]" c="2018"/>
        <s v="[Dim Race].[Year Season].&amp;[2019]" c="2019"/>
        <s v="[Dim Race].[Year Season].&amp;[2020]" c="2020"/>
        <s v="[Dim Race].[Year Season].&amp;[2021]" c="2021"/>
        <s v="[Dim Race].[Year Season].&amp;[2022]" c="2022"/>
        <s v="[Dim Race].[Year Season].&amp;[2023]" c="2023"/>
        <s v="[Dim Race].[Year Season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2" unbalanced="0">
      <fieldsUsage count="2">
        <fieldUsage x="-1"/>
        <fieldUsage x="4"/>
      </fieldsUsage>
    </cacheHierarchy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16087964" backgroundQuery="1" createdVersion="8" refreshedVersion="8" minRefreshableVersion="3" recordCount="0" supportSubquery="1" supportAdvancedDrill="1" xr:uid="{19EFFABB-3DF1-4D82-9260-5ADF45140058}">
  <cacheSource type="external" connectionId="1"/>
  <cacheFields count="7">
    <cacheField name="[Measures].[AveragePitStopsCount]" caption="AveragePitStopsCount" numFmtId="0" hierarchy="68" level="32767"/>
    <cacheField name="[Dim Time].[Time Hierarchy].[Year]" caption="Year" numFmtId="0" hierarchy="36" level="1">
      <sharedItems count="6">
        <s v="[Dim Time].[Time Hierarchy].[Year].&amp;[2018]" c="2018"/>
        <s v="[Dim Time].[Time Hierarchy].[Year].&amp;[2019]" c="2019"/>
        <s v="[Dim Time].[Time Hierarchy].[Year].&amp;[2020]" c="2020"/>
        <s v="[Dim Time].[Time Hierarchy].[Year].&amp;[2021]" c="2021"/>
        <s v="[Dim Time].[Time Hierarchy].[Year].&amp;[2022]" c="2022"/>
        <s v="[Dim Time].[Time Hierarchy].[Year].&amp;[2023]" c="2023"/>
      </sharedItems>
    </cacheField>
    <cacheField name="[Dim Time].[Time Hierarchy].[Quarter]" caption="Quarter" numFmtId="0" hierarchy="36" level="2">
      <sharedItems containsSemiMixedTypes="0" containsString="0"/>
    </cacheField>
    <cacheField name="[Dim Time].[Time Hierarchy].[Month]" caption="Month" numFmtId="0" hierarchy="36" level="3">
      <sharedItems containsSemiMixedTypes="0" containsString="0"/>
    </cacheField>
    <cacheField name="[Dim Time].[Time Hierarchy].[Day Of Month]" caption="Day Of Month" numFmtId="0" hierarchy="36" level="4">
      <sharedItems containsSemiMixedTypes="0" containsString="0"/>
    </cacheField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Time].[Year].[Year]" caption="Year" numFmtId="0" hierarchy="37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5" unbalanced="0">
      <fieldsUsage count="5">
        <fieldUsage x="-1"/>
        <fieldUsage x="1"/>
        <fieldUsage x="2"/>
        <fieldUsage x="3"/>
        <fieldUsage x="4"/>
      </fieldsUsage>
    </cacheHierarchy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6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5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 oneField="1">
      <fieldsUsage count="1">
        <fieldUsage x="0"/>
      </fieldsUsage>
    </cacheHierarchy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1909722" backgroundQuery="1" createdVersion="8" refreshedVersion="8" minRefreshableVersion="3" recordCount="0" supportSubquery="1" supportAdvancedDrill="1" xr:uid="{83FC3B7F-BBEF-4612-AC70-0D06FDFFB172}">
  <cacheSource type="external" connectionId="1"/>
  <cacheFields count="7">
    <cacheField name="[Dim Circuit].[Continent].[Continent]" caption="Continent" numFmtId="0" hierarchy="7" level="1">
      <sharedItems containsSemiMixedTypes="0" containsString="0"/>
    </cacheField>
    <cacheField name="[Measures].[Average Absolute Position Order Change]" caption="Average Absolute Position Order Change" numFmtId="0" hierarchy="69" level="32767"/>
    <cacheField name="[Dim Circuit].[Circuit Name].[Circuit Name]" caption="Circuit Name" numFmtId="0" hierarchy="6" level="1">
      <sharedItems count="30">
        <s v="[Dim Circuit].[Circuit Name].&amp;[Charade Circuit]" c="Charade Circuit"/>
        <s v="[Dim Circuit].[Circuit Name].&amp;[Circuit de Nevers Magny-Cours]" c="Circuit de Nevers Magny-Cours"/>
        <s v="[Dim Circuit].[Circuit Name].&amp;[Circuit de Spa-Francorchamps]" c="Circuit de Spa-Francorchamps"/>
        <s v="[Dim Circuit].[Circuit Name].&amp;[Circuit Paul Ricard]" c="Circuit Paul Ricard"/>
        <s v="[Dim Circuit].[Circuit Name].&amp;[Dijon-Prenois]" c="Dijon-Prenois"/>
        <s v="[Dim Circuit].[Circuit Name].&amp;[Hockenheimring]" c="Hockenheimring"/>
        <s v="[Dim Circuit].[Circuit Name].&amp;[Nivelles-Baulers]" c="Nivelles-Baulers"/>
        <s v="[Dim Circuit].[Circuit Name].&amp;[Nürburgring]" c="Nürburgring"/>
        <s v="[Dim Circuit].[Circuit Name].&amp;[Red Bull Ring]" c="Red Bull Ring"/>
        <s v="[Dim Circuit].[Circuit Name].&amp;[Reims-Gueux]" c="Reims-Gueux"/>
        <s v="[Dim Circuit].[Circuit Name].&amp;[Rouen-Les-Essarts]" c="Rouen-Les-Essarts"/>
        <s v="[Dim Circuit].[Circuit Name].&amp;[Zolder]" c="Zolder"/>
        <s v="[Dim Circuit].[Circuit Name].&amp;[Aintree]" u="1" c="Aintree"/>
        <s v="[Dim Circuit].[Circuit Name].&amp;[Autodromo Enzo e Dino Ferrari]" u="1" c="Autodromo Enzo e Dino Ferrari"/>
        <s v="[Dim Circuit].[Circuit Name].&amp;[Autodromo Nazionale di Monza]" u="1" c="Autodromo Nazionale di Monza"/>
        <s v="[Dim Circuit].[Circuit Name].&amp;[Autódromo do Estoril]" u="1" c="Autódromo do Estoril"/>
        <s v="[Dim Circuit].[Circuit Name].&amp;[Brands Hatch]" u="1" c="Brands Hatch"/>
        <s v="[Dim Circuit].[Circuit Name].&amp;[Circuit Bremgarten]" u="1" c="Circuit Bremgarten"/>
        <s v="[Dim Circuit].[Circuit Name].&amp;[Circuit de Barcelona-Catalunya]" u="1" c="Circuit de Barcelona-Catalunya"/>
        <s v="[Dim Circuit].[Circuit Name].&amp;[Circuit de Monaco]" u="1" c="Circuit de Monaco"/>
        <s v="[Dim Circuit].[Circuit Name].&amp;[Circuit de Pedralbes]" u="1" c="Circuit de Pedralbes"/>
        <s v="[Dim Circuit].[Circuit Name].&amp;[Circuit Park Zandvoort]" u="1" c="Circuit Park Zandvoort"/>
        <s v="[Dim Circuit].[Circuit Name].&amp;[Circuito de Jerez]" u="1" c="Circuito de Jerez"/>
        <s v="[Dim Circuit].[Circuit Name].&amp;[Donington Park]" u="1" c="Donington Park"/>
        <s v="[Dim Circuit].[Circuit Name].&amp;[Hungaroring]" u="1" c="Hungaroring"/>
        <s v="[Dim Circuit].[Circuit Name].&amp;[Jarama]" u="1" c="Jarama"/>
        <s v="[Dim Circuit].[Circuit Name].&amp;[Scandinavian Raceway]" u="1" c="Scandinavian Raceway"/>
        <s v="[Dim Circuit].[Circuit Name].&amp;[Silverstone Circuit]" u="1" c="Silverstone Circuit"/>
        <s v="[Dim Circuit].[Circuit Name].&amp;[Sochi Autodrom]" u="1" c="Sochi Autodrom"/>
        <s v="[Dim Circuit].[Circuit Name].&amp;[Valencia Street Circuit]" u="1" c="Valencia Street Circuit"/>
      </sharedItems>
    </cacheField>
    <cacheField name="[Dim Circuit].[Location Hierarchy].[Continent]" caption="Continent" numFmtId="0" hierarchy="10" level="1">
      <sharedItems count="1">
        <s v="[Dim Circuit].[Location Hierarchy].[Continent].&amp;[Europe]" c="Europe"/>
      </sharedItems>
    </cacheField>
    <cacheField name="[Dim Circuit].[Location Hierarchy].[Country Name]" caption="Country Name" numFmtId="0" hierarchy="10" level="2">
      <sharedItems count="4">
        <s v="[Dim Circuit].[Location Hierarchy].[Continent].&amp;[Europe].&amp;[Austria]" c="Austria"/>
        <s v="[Dim Circuit].[Location Hierarchy].[Continent].&amp;[Europe].&amp;[Belgium]" c="Belgium"/>
        <s v="[Dim Circuit].[Location Hierarchy].[Continent].&amp;[Europe].&amp;[France]" c="France"/>
        <s v="[Dim Circuit].[Location Hierarchy].[Continent].&amp;[Europe].&amp;[Germany]" c="Germany"/>
      </sharedItems>
    </cacheField>
    <cacheField name="[Dim Circuit].[Location Hierarchy].[Location City]" caption="Location City" numFmtId="0" hierarchy="10" level="3">
      <sharedItems count="12">
        <s v="[Dim Circuit].[Location Hierarchy].[Continent].&amp;[Europe].&amp;[Austria].&amp;[Spielberg]" c="Spielberg"/>
        <s v="[Dim Circuit].[Location Hierarchy].[Continent].&amp;[Europe].&amp;[Belgium].&amp;[Brussels]" c="Brussels"/>
        <s v="[Dim Circuit].[Location Hierarchy].[Continent].&amp;[Europe].&amp;[Belgium].&amp;[Heusden-Zolder]" c="Heusden-Zolder"/>
        <s v="[Dim Circuit].[Location Hierarchy].[Continent].&amp;[Europe].&amp;[Belgium].&amp;[Spa]" c="Spa"/>
        <s v="[Dim Circuit].[Location Hierarchy].[Continent].&amp;[Europe].&amp;[France].&amp;[Clermont-Ferrand]" c="Clermont-Ferrand"/>
        <s v="[Dim Circuit].[Location Hierarchy].[Continent].&amp;[Europe].&amp;[France].&amp;[Dijon]" c="Dijon"/>
        <s v="[Dim Circuit].[Location Hierarchy].[Continent].&amp;[Europe].&amp;[France].&amp;[Le Castellet]" c="Le Castellet"/>
        <s v="[Dim Circuit].[Location Hierarchy].[Continent].&amp;[Europe].&amp;[France].&amp;[Magny Cours]" c="Magny Cours"/>
        <s v="[Dim Circuit].[Location Hierarchy].[Continent].&amp;[Europe].&amp;[France].&amp;[Reims]" c="Reims"/>
        <s v="[Dim Circuit].[Location Hierarchy].[Continent].&amp;[Europe].&amp;[France].&amp;[Rouen]" c="Rouen"/>
        <s v="[Dim Circuit].[Location Hierarchy].[Continent].&amp;[Europe].&amp;[Germany].&amp;[Hockenheim]" c="Hockenheim"/>
        <s v="[Dim Circuit].[Location Hierarchy].[Continent].&amp;[Europe].&amp;[Germany].&amp;[Nürburg]" c="Nürburg"/>
      </sharedItems>
    </cacheField>
    <cacheField name="[Dim Circuit].[Location Hierarchy].[Circuit Name]" caption="Circuit Name" numFmtId="0" hierarchy="10" level="4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2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2" unbalanced="0">
      <fieldsUsage count="2">
        <fieldUsage x="-1"/>
        <fieldUsage x="0"/>
      </fieldsUsage>
    </cacheHierarchy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5" unbalanced="0">
      <fieldsUsage count="5">
        <fieldUsage x="-1"/>
        <fieldUsage x="3"/>
        <fieldUsage x="4"/>
        <fieldUsage x="5"/>
        <fieldUsage x="6"/>
      </fieldsUsage>
    </cacheHierarchy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 oneField="1">
      <fieldsUsage count="1">
        <fieldUsage x="1"/>
      </fieldsUsage>
    </cacheHierarchy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21874999" backgroundQuery="1" createdVersion="8" refreshedVersion="8" minRefreshableVersion="3" recordCount="0" supportSubquery="1" supportAdvancedDrill="1" xr:uid="{1BD78FDA-7D69-4F13-9DC2-8B3D9C96FD22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Win Percentage from Grid]" caption="Win Percentage from Grid" numFmtId="0" hierarchy="73" level="32767"/>
    <cacheField name="[Measures].[Average Fastest Lap Top Speed]" caption="Average Fastest Lap Top Speed" numFmtId="0" hierarchy="76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1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 oneField="1">
      <fieldsUsage count="1">
        <fieldUsage x="2"/>
      </fieldsUsage>
    </cacheHierarchy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24768516" backgroundQuery="1" createdVersion="8" refreshedVersion="8" minRefreshableVersion="3" recordCount="0" supportSubquery="1" supportAdvancedDrill="1" xr:uid="{125F41B5-3B3C-4D18-ADBF-159F41F79641}">
  <cacheSource type="external" connectionId="1"/>
  <cacheFields count="3">
    <cacheField name="[Dim Circuit].[Circuit Name].[Circuit Name]" caption="Circuit Name" numFmtId="0" hierarchy="6" level="1">
      <sharedItems containsSemiMixedTypes="0" containsString="0"/>
    </cacheField>
    <cacheField name="[Dim Time].[Year].[Year]" caption="Year" numFmtId="0" hierarchy="37" level="1">
      <sharedItems count="74">
        <s v="[Dim Time].[Year].&amp;[1950]" c="1950"/>
        <s v="[Dim Time].[Year].&amp;[1951]" c="1951"/>
        <s v="[Dim Time].[Year].&amp;[1952]" c="1952"/>
        <s v="[Dim Time].[Year].&amp;[1953]" c="1953"/>
        <s v="[Dim Time].[Year].&amp;[1954]" c="1954"/>
        <s v="[Dim Time].[Year].&amp;[1955]" c="1955"/>
        <s v="[Dim Time].[Year].&amp;[1956]" c="1956"/>
        <s v="[Dim Time].[Year].&amp;[1957]" c="1957"/>
        <s v="[Dim Time].[Year].&amp;[1958]" c="1958"/>
        <s v="[Dim Time].[Year].&amp;[1959]" c="1959"/>
        <s v="[Dim Time].[Year].&amp;[1960]" c="1960"/>
        <s v="[Dim Time].[Year].&amp;[1961]" c="1961"/>
        <s v="[Dim Time].[Year].&amp;[1962]" c="1962"/>
        <s v="[Dim Time].[Year].&amp;[1963]" c="1963"/>
        <s v="[Dim Time].[Year].&amp;[1964]" c="1964"/>
        <s v="[Dim Time].[Year].&amp;[1965]" c="1965"/>
        <s v="[Dim Time].[Year].&amp;[1966]" c="1966"/>
        <s v="[Dim Time].[Year].&amp;[1967]" c="1967"/>
        <s v="[Dim Time].[Year].&amp;[1968]" c="1968"/>
        <s v="[Dim Time].[Year].&amp;[1969]" c="1969"/>
        <s v="[Dim Time].[Year].&amp;[1970]" c="1970"/>
        <s v="[Dim Time].[Year].&amp;[1971]" c="1971"/>
        <s v="[Dim Time].[Year].&amp;[1972]" c="1972"/>
        <s v="[Dim Time].[Year].&amp;[1973]" c="1973"/>
        <s v="[Dim Time].[Year].&amp;[1974]" c="1974"/>
        <s v="[Dim Time].[Year].&amp;[1975]" c="1975"/>
        <s v="[Dim Time].[Year].&amp;[1976]" c="1976"/>
        <s v="[Dim Time].[Year].&amp;[1977]" c="1977"/>
        <s v="[Dim Time].[Year].&amp;[1978]" c="1978"/>
        <s v="[Dim Time].[Year].&amp;[1979]" c="1979"/>
        <s v="[Dim Time].[Year].&amp;[1981]" c="1981"/>
        <s v="[Dim Time].[Year].&amp;[1982]" c="1982"/>
        <s v="[Dim Time].[Year].&amp;[1983]" c="1983"/>
        <s v="[Dim Time].[Year].&amp;[1984]" c="1984"/>
        <s v="[Dim Time].[Year].&amp;[1985]" c="1985"/>
        <s v="[Dim Time].[Year].&amp;[1986]" c="1986"/>
        <s v="[Dim Time].[Year].&amp;[1987]" c="1987"/>
        <s v="[Dim Time].[Year].&amp;[1988]" c="1988"/>
        <s v="[Dim Time].[Year].&amp;[1989]" c="1989"/>
        <s v="[Dim Time].[Year].&amp;[1990]" c="1990"/>
        <s v="[Dim Time].[Year].&amp;[1991]" c="1991"/>
        <s v="[Dim Time].[Year].&amp;[1992]" c="1992"/>
        <s v="[Dim Time].[Year].&amp;[1993]" c="1993"/>
        <s v="[Dim Time].[Year].&amp;[1994]" c="1994"/>
        <s v="[Dim Time].[Year].&amp;[1995]" c="1995"/>
        <s v="[Dim Time].[Year].&amp;[1996]" c="1996"/>
        <s v="[Dim Time].[Year].&amp;[1997]" c="1997"/>
        <s v="[Dim Time].[Year].&amp;[1998]" c="1998"/>
        <s v="[Dim Time].[Year].&amp;[1999]" c="1999"/>
        <s v="[Dim Time].[Year].&amp;[2000]" c="2000"/>
        <s v="[Dim Time].[Year].&amp;[2001]" c="2001"/>
        <s v="[Dim Time].[Year].&amp;[2002]" c="2002"/>
        <s v="[Dim Time].[Year].&amp;[2003]" c="2003"/>
        <s v="[Dim Time].[Year].&amp;[2004]" c="2004"/>
        <s v="[Dim Time].[Year].&amp;[2005]" c="2005"/>
        <s v="[Dim Time].[Year].&amp;[2006]" c="2006"/>
        <s v="[Dim Time].[Year].&amp;[2007]" c="2007"/>
        <s v="[Dim Time].[Year].&amp;[2008]" c="2008"/>
        <s v="[Dim Time].[Year].&amp;[2009]" c="2009"/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  <cacheField name="[Measures].[Average Race Time in Minutes]" caption="Average Race Time in Minutes" numFmtId="0" hierarchy="77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0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1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 oneField="1">
      <fieldsUsage count="1">
        <fieldUsage x="2"/>
      </fieldsUsage>
    </cacheHierarchy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1327777779" backgroundQuery="1" createdVersion="8" refreshedVersion="8" minRefreshableVersion="3" recordCount="0" supportSubquery="1" supportAdvancedDrill="1" xr:uid="{EDAF3AB4-F84F-4D58-B645-530C9DA3FC38}">
  <cacheSource type="external" connectionId="1"/>
  <cacheFields count="5">
    <cacheField name="[Measures].[Constructor Reliability KPI Value]" caption="Constructor Reliability KPI" numFmtId="0" hierarchy="78" level="32767"/>
    <cacheField name="[Measures].[Constructor Reliability KPI Goal]" caption="Constructor Reliability KPI (Goal)" numFmtId="0" hierarchy="79" level="32767"/>
    <cacheField name="[Measures].[Constructor Reliability KPI Status]" caption="Constructor Reliability KPI (Status)" numFmtId="0" hierarchy="80" level="32767"/>
    <cacheField name="[Measures].[Constructor Reliability KPI Trend]" caption="Constructor Reliability KPI (Trend)" numFmtId="0" hierarchy="81" level="32767"/>
    <cacheField name="[Dim Time].[Year].[Year]" caption="Year" numFmtId="0" hierarchy="37" level="1">
      <sharedItems count="25">
        <s v="[Dim Time].[Year].&amp;[2000]" c="2000"/>
        <s v="[Dim Time].[Year].&amp;[2001]" c="2001"/>
        <s v="[Dim Time].[Year].&amp;[2002]" c="2002"/>
        <s v="[Dim Time].[Year].&amp;[2003]" c="2003"/>
        <s v="[Dim Time].[Year].&amp;[2004]" c="2004"/>
        <s v="[Dim Time].[Year].&amp;[2005]" c="2005"/>
        <s v="[Dim Time].[Year].&amp;[2006]" c="2006"/>
        <s v="[Dim Time].[Year].&amp;[2007]" c="2007"/>
        <s v="[Dim Time].[Year].&amp;[2008]" c="2008"/>
        <s v="[Dim Time].[Year].&amp;[2009]" c="2009"/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4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oneField="1" hidden="1">
      <fieldsUsage count="1">
        <fieldUsage x="0"/>
      </fieldsUsage>
    </cacheHierarchy>
    <cacheHierarchy uniqueName="[Measures].[Constructor Reliability KPI Goal]" caption="Constructor Reliability KPI (Goal)" measure="1" displayFolder="" count="0" oneField="1" hidden="1">
      <fieldsUsage count="1">
        <fieldUsage x="1"/>
      </fieldsUsage>
    </cacheHierarchy>
    <cacheHierarchy uniqueName="[Measures].[Constructor Reliability KPI Status]" caption="Constructor Reliability KPI (Status)" measure="1" displayFolder="" count="0" oneField="1" hidden="1">
      <fieldsUsage count="1">
        <fieldUsage x="2"/>
      </fieldsUsage>
    </cacheHierarchy>
    <cacheHierarchy uniqueName="[Measures].[Constructor Reliability KPI Trend]" caption="Constructor Reliability KPI (Trend)" measure="1" displayFolder="" count="0" oneField="1" hidden="1">
      <fieldsUsage count="1">
        <fieldUsage x="3"/>
      </fieldsUsage>
    </cacheHierarchy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482698958331" backgroundQuery="1" createdVersion="8" refreshedVersion="8" minRefreshableVersion="3" recordCount="0" supportSubquery="1" supportAdvancedDrill="1" xr:uid="{31C02256-19E7-4A55-B928-9C1309321BFA}">
  <cacheSource type="external" connectionId="1"/>
  <cacheFields count="9">
    <cacheField name="[Measures].[Constructor Reliability KPI Value]" caption="Constructor Reliability KPI" numFmtId="0" hierarchy="78" level="32767"/>
    <cacheField name="[Measures].[Constructor Reliability KPI Goal]" caption="Constructor Reliability KPI (Goal)" numFmtId="0" hierarchy="79" level="32767"/>
    <cacheField name="[Measures].[Constructor Reliability KPI Status]" caption="Constructor Reliability KPI (Status)" numFmtId="0" hierarchy="80" level="32767"/>
    <cacheField name="[Measures].[Constructor Reliability KPI Trend]" caption="Constructor Reliability KPI (Trend)" numFmtId="0" hierarchy="81" level="32767"/>
    <cacheField name="[Dim Time].[Time Hierarchy].[Year]" caption="Year" numFmtId="0" hierarchy="36" level="1">
      <sharedItems count="25">
        <s v="[Dim Time].[Time Hierarchy].[Year].&amp;[2000]" c="2000"/>
        <s v="[Dim Time].[Time Hierarchy].[Year].&amp;[2001]" c="2001"/>
        <s v="[Dim Time].[Time Hierarchy].[Year].&amp;[2002]" c="2002"/>
        <s v="[Dim Time].[Time Hierarchy].[Year].&amp;[2003]" c="2003"/>
        <s v="[Dim Time].[Time Hierarchy].[Year].&amp;[2004]" c="2004"/>
        <s v="[Dim Time].[Time Hierarchy].[Year].&amp;[2005]" c="2005"/>
        <s v="[Dim Time].[Time Hierarchy].[Year].&amp;[2006]" c="2006"/>
        <s v="[Dim Time].[Time Hierarchy].[Year].&amp;[2007]" c="2007"/>
        <s v="[Dim Time].[Time Hierarchy].[Year].&amp;[2008]" c="2008"/>
        <s v="[Dim Time].[Time Hierarchy].[Year].&amp;[2009]" c="2009"/>
        <s v="[Dim Time].[Time Hierarchy].[Year].&amp;[2010]" c="2010"/>
        <s v="[Dim Time].[Time Hierarchy].[Year].&amp;[2011]" c="2011"/>
        <s v="[Dim Time].[Time Hierarchy].[Year].&amp;[2012]" c="2012"/>
        <s v="[Dim Time].[Time Hierarchy].[Year].&amp;[2013]" c="2013"/>
        <s v="[Dim Time].[Time Hierarchy].[Year].&amp;[2014]" c="2014"/>
        <s v="[Dim Time].[Time Hierarchy].[Year].&amp;[2015]" c="2015"/>
        <s v="[Dim Time].[Time Hierarchy].[Year].&amp;[2016]" c="2016"/>
        <s v="[Dim Time].[Time Hierarchy].[Year].&amp;[2017]" c="2017"/>
        <s v="[Dim Time].[Time Hierarchy].[Year].&amp;[2018]" c="2018"/>
        <s v="[Dim Time].[Time Hierarchy].[Year].&amp;[2019]" c="2019"/>
        <s v="[Dim Time].[Time Hierarchy].[Year].&amp;[2020]" c="2020"/>
        <s v="[Dim Time].[Time Hierarchy].[Year].&amp;[2021]" c="2021"/>
        <s v="[Dim Time].[Time Hierarchy].[Year].&amp;[2022]" c="2022"/>
        <s v="[Dim Time].[Time Hierarchy].[Year].&amp;[2023]" c="2023"/>
        <s v="[Dim Time].[Time Hierarchy].[Year].&amp;[2024]" c="2024"/>
      </sharedItems>
    </cacheField>
    <cacheField name="[Dim Time].[Time Hierarchy].[Quarter]" caption="Quarter" numFmtId="0" hierarchy="36" level="2">
      <sharedItems count="4">
        <s v="[Dim Time].[Time Hierarchy].[Year].&amp;[2017].&amp;[1]" c="1"/>
        <s v="[Dim Time].[Time Hierarchy].[Year].&amp;[2017].&amp;[2]" c="2"/>
        <s v="[Dim Time].[Time Hierarchy].[Year].&amp;[2017].&amp;[3]" c="3"/>
        <s v="[Dim Time].[Time Hierarchy].[Year].&amp;[2017].&amp;[4]" c="4"/>
      </sharedItems>
    </cacheField>
    <cacheField name="[Dim Time].[Time Hierarchy].[Month]" caption="Month" numFmtId="0" hierarchy="36" level="3">
      <sharedItems containsSemiMixedTypes="0" containsString="0"/>
    </cacheField>
    <cacheField name="[Dim Time].[Time Hierarchy].[Day Of Month]" caption="Day Of Month" numFmtId="0" hierarchy="36" level="4">
      <sharedItems containsSemiMixedTypes="0" containsString="0"/>
    </cacheField>
    <cacheField name="[Dim Time].[Year].[Year]" caption="Year" numFmtId="0" hierarchy="37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5" unbalanced="0">
      <fieldsUsage count="5">
        <fieldUsage x="-1"/>
        <fieldUsage x="4"/>
        <fieldUsage x="5"/>
        <fieldUsage x="6"/>
        <fieldUsage x="7"/>
      </fieldsUsage>
    </cacheHierarchy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8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oneField="1" hidden="1">
      <fieldsUsage count="1">
        <fieldUsage x="0"/>
      </fieldsUsage>
    </cacheHierarchy>
    <cacheHierarchy uniqueName="[Measures].[Constructor Reliability KPI Goal]" caption="Constructor Reliability KPI (Goal)" measure="1" displayFolder="" count="0" oneField="1" hidden="1">
      <fieldsUsage count="1">
        <fieldUsage x="1"/>
      </fieldsUsage>
    </cacheHierarchy>
    <cacheHierarchy uniqueName="[Measures].[Constructor Reliability KPI Status]" caption="Constructor Reliability KPI (Status)" measure="1" iconSet="10" displayFolder="" count="0" oneField="1" hidden="1">
      <fieldsUsage count="1">
        <fieldUsage x="2"/>
      </fieldsUsage>
    </cacheHierarchy>
    <cacheHierarchy uniqueName="[Measures].[Constructor Reliability KPI Trend]" caption="Constructor Reliability KPI (Trend)" measure="1" iconSet="3" displayFolder="" count="0" oneField="1" hidden="1">
      <fieldsUsage count="1">
        <fieldUsage x="3"/>
      </fieldsUsage>
    </cacheHierarchy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10.565184375002" backgroundQuery="1" createdVersion="8" refreshedVersion="8" minRefreshableVersion="3" recordCount="0" supportSubquery="1" supportAdvancedDrill="1" xr:uid="{1B23EE04-88D7-45FA-B735-CBAC80190CCC}">
  <cacheSource type="external" connectionId="1"/>
  <cacheFields count="3">
    <cacheField name="[Measures].[Fact Result Count]" caption="Fact Result Count" numFmtId="0" hierarchy="53" level="32767"/>
    <cacheField name="[Dim Status].[Status Hierarchy].[Status Category]" caption="Status Category" numFmtId="0" hierarchy="27" level="1">
      <sharedItems count="6">
        <s v="[Dim Status].[Status Hierarchy].[Status Category].&amp;[Accident/Incident]" c="Accident/Incident"/>
        <s v="[Dim Status].[Status Hierarchy].[Status Category].&amp;[Driver Issue]" c="Driver Issue"/>
        <s v="[Dim Status].[Status Hierarchy].[Status Category].&amp;[Mechanical Failure]" c="Mechanical Failure"/>
        <s v="[Dim Status].[Status Hierarchy].[Status Category].&amp;[Pre-Race/Qualification]" c="Pre-Race/Qualification"/>
        <s v="[Dim Status].[Status Hierarchy].[Status Category].&amp;[Race Outcome]" c="Race Outcome"/>
        <s v="[Dim Status].[Status Hierarchy].[Status Category].&amp;[Sporting/Regulatory]" c="Sporting/Regulatory"/>
      </sharedItems>
    </cacheField>
    <cacheField name="[Dim Status].[Status Hierarchy].[Status Description]" caption="Status Description" numFmtId="0" hierarchy="27" level="2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3" unbalanced="0">
      <fieldsUsage count="3">
        <fieldUsage x="-1"/>
        <fieldUsage x="1"/>
        <fieldUsage x="2"/>
      </fieldsUsage>
    </cacheHierarchy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0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iconSet="10" displayFolder="" count="0" hidden="1"/>
    <cacheHierarchy uniqueName="[Measures].[Constructor Reliability KPI Trend]" caption="Constructor Reliability KPI (Trend)" measure="1" iconSet="3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7BB47-9FE9-44F6-BAE3-68381FD572F9}" name="PivotTable1" cacheId="1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D12" firstHeaderRow="1" firstDataRow="2" firstDataCol="1" rowPageCount="1" colPageCount="1"/>
  <pivotFields count="7">
    <pivotField dataField="1" subtotalTop="0" showAll="0" defaultSubtotal="0"/>
    <pivotField axis="axisRow" allDrilled="1" subtotalTop="0" showAll="0" dataSourceSort="1" defaultSubtotal="0">
      <items count="6">
        <item c="1" x="0"/>
        <item c="1" x="1"/>
        <item c="1" x="2"/>
        <item c="1" x="3"/>
        <item c="1" x="4"/>
        <item c="1" x="5"/>
      </items>
    </pivotField>
    <pivotField axis="axisRow" subtotalTop="0" showAll="0" dataSourceSort="1" defaultSubtotal="0"/>
    <pivotField axis="axisRow" subtotalTop="0" showAll="0" dataSourceSort="1" defaultSubtotal="0"/>
    <pivotField axis="axisRow" subtotalTop="0" showAll="0" dataSourceSort="1" defaultSubtotal="0"/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xis="axisPage" allDrilled="1" subtotalTop="0" showAll="0" dataSourceSort="1" defaultSubtotal="0" defaultAttributeDrillState="1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1">
    <pageField fld="6" hier="37" name="[Dim Time].[Year].&amp;[2018]" cap="2018"/>
  </pageFields>
  <dataFields count="1">
    <dataField fld="0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5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5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Dim Time].[Year].&amp;[2018]"/>
        <member name="[Dim Time].[Year].&amp;[2019]"/>
        <member name="[Dim Time].[Year].&amp;[2020]"/>
        <member name="[Dim Time].[Year].&amp;[2021]"/>
        <member name="[Dim Time].[Year].&amp;[2022]"/>
        <member name="[Dim Time].[Year].&amp;[2023]"/>
      </members>
    </pivotHierarchy>
    <pivotHierarchy/>
    <pivotHierarchy multipleItemSelectionAllowed="1"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6"/>
  </rowHierarchiesUsage>
  <colHierarchiesUsage count="1">
    <colHierarchyUsage hierarchyUsage="3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A81BC-8C75-4F76-8210-EEF5A83AF696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fieldListSortAscending="1">
  <location ref="A4:B22" firstHeaderRow="1" firstDataRow="1" firstDataCol="1" rowPageCount="1" colPageCount="1"/>
  <pivotFields count="7"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sortType="descending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>
      <items count="1">
        <item c="1" x="0" d="1"/>
      </items>
    </pivotField>
    <pivotField axis="axisRow" subtotalTop="0" showAll="0" dataSourceSort="1" defaultSubtotal="0">
      <items count="4">
        <item c="1" x="0" d="1"/>
        <item s="1" c="1" x="1" d="1"/>
        <item c="1" x="2" d="1"/>
        <item c="1" x="3" d="1"/>
      </items>
    </pivotField>
    <pivotField axis="axisRow" subtotalTop="0" showAll="0" dataSourceSort="1" defaultSubtotal="0">
      <items count="12">
        <item s="1" c="1" x="0"/>
        <item c="1" x="1"/>
        <item c="1" x="2"/>
        <item c="1" x="3"/>
        <item s="1" c="1" x="4"/>
        <item s="1" c="1" x="5"/>
        <item s="1" c="1" x="6"/>
        <item s="1" c="1" x="7"/>
        <item s="1" c="1" x="8"/>
        <item s="1" c="1" x="9"/>
        <item s="1" c="1" x="10"/>
        <item s="1" c="1" x="11"/>
      </items>
    </pivotField>
    <pivotField axis="axisRow" subtotalTop="0" showAll="0" dataSourceSort="1" defaultSubtotal="0"/>
  </pivotFields>
  <rowFields count="3">
    <field x="3"/>
    <field x="4"/>
    <field x="5"/>
  </rowFields>
  <rowItems count="18">
    <i>
      <x/>
    </i>
    <i r="1">
      <x/>
    </i>
    <i r="2">
      <x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1">
      <x v="3"/>
    </i>
    <i r="2">
      <x v="10"/>
    </i>
    <i r="2">
      <x v="11"/>
    </i>
    <i t="grand">
      <x/>
    </i>
  </rowItems>
  <colItems count="1">
    <i/>
  </colItems>
  <pageFields count="1">
    <pageField fld="0" hier="7" name="[Dim Circuit].[Continent].&amp;[Europe]" cap="Europe"/>
  </pageFields>
  <dataFields count="1">
    <dataField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1"/>
          </reference>
        </references>
      </pivotArea>
    </chartFormat>
    <chartFormat chart="0" format="118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2"/>
          </reference>
        </references>
      </pivotArea>
    </chartFormat>
    <chartFormat chart="0" format="119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3"/>
          </reference>
        </references>
      </pivotArea>
    </chartFormat>
    <chartFormat chart="0" format="120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4"/>
          </reference>
        </references>
      </pivotArea>
    </chartFormat>
    <chartFormat chart="0" format="121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5"/>
          </reference>
        </references>
      </pivotArea>
    </chartFormat>
    <chartFormat chart="0" format="122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6"/>
          </reference>
        </references>
      </pivotArea>
    </chartFormat>
    <chartFormat chart="0" format="123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7"/>
          </reference>
        </references>
      </pivotArea>
    </chartFormat>
    <chartFormat chart="0" format="124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8"/>
          </reference>
        </references>
      </pivotArea>
    </chartFormat>
    <chartFormat chart="0" format="125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9"/>
          </reference>
        </references>
      </pivotArea>
    </chartFormat>
    <chartFormat chart="0" format="126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0"/>
          </reference>
        </references>
      </pivotArea>
    </chartFormat>
    <chartFormat chart="0" format="12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>
      <members count="69" level="1">
        <member name="[Dim Circuit].[Circuit Name].&amp;[Adelaide Street Circuit]"/>
        <member name="[Dim Circuit].[Circuit Name].&amp;[Ain Diab]"/>
        <member name=""/>
        <member name="[Dim Circuit].[Circuit Name].&amp;[Albert Park Grand Prix Circuit]"/>
        <member name=""/>
        <member name=""/>
        <member name=""/>
        <member name="[Dim Circuit].[Circuit Name].&amp;[Autódromo Hermanos Rodríguez]"/>
        <member name="[Dim Circuit].[Circuit Name].&amp;[Autódromo Internacional Nelson Piquet]"/>
        <member name="[Dim Circuit].[Circuit Name].&amp;[Autódromo José Carlos Pace]"/>
        <member name="[Dim Circuit].[Circuit Name].&amp;[Autódromo Juan y Oscar Gálvez]"/>
        <member name="[Dim Circuit].[Circuit Name].&amp;[Bahrain International Circuit]"/>
        <member name="[Dim Circuit].[Circuit Name].&amp;[Baku City Circuit]"/>
        <member name=""/>
        <member name="[Dim Circuit].[Circuit Name].&amp;[Buddh International Circuit]"/>
        <member name=""/>
        <member name=""/>
        <member name=""/>
        <member name=""/>
        <member name=""/>
        <member name=""/>
        <member name=""/>
        <member name="[Dim Circuit].[Circuit Name].&amp;[Circuit Gilles Villeneuve]"/>
        <member name="[Dim Circuit].[Circuit Name].&amp;[Circuit Mont-Tremblant]"/>
        <member name="[Dim Circuit].[Circuit Name].&amp;[Circuit of the Americas]"/>
        <member name=""/>
        <member name=""/>
        <member name=""/>
        <member name="[Dim Circuit].[Circuit Name].&amp;[Detroit Street Circuit]"/>
        <member name=""/>
        <member name=""/>
        <member name="[Dim Circuit].[Circuit Name].&amp;[Fair Park]"/>
        <member name="[Dim Circuit].[Circuit Name].&amp;[Fuji Speedway]"/>
        <member name=""/>
        <member name=""/>
        <member name="[Dim Circuit].[Circuit Name].&amp;[Indianapolis Motor Speedway]"/>
        <member name="[Dim Circuit].[Circuit Name].&amp;[Istanbul Park]"/>
        <member name=""/>
        <member name="[Dim Circuit].[Circuit Name].&amp;[Jeddah Corniche Circuit]"/>
        <member name="[Dim Circuit].[Circuit Name].&amp;[Korean International Circuit]"/>
        <member name="[Dim Circuit].[Circuit Name].&amp;[Kyalami]"/>
        <member name="[Dim Circuit].[Circuit Name].&amp;[Las Vegas Street Circuit]"/>
        <member name="[Dim Circuit].[Circuit Name].&amp;[Las Vegas Strip Street Circuit]"/>
        <member name="[Dim Circuit].[Circuit Name].&amp;[Long Beach]"/>
        <member name="[Dim Circuit].[Circuit Name].&amp;[Losail International Circuit]"/>
        <member name="[Dim Circuit].[Circuit Name].&amp;[Marina Bay Street Circuit]"/>
        <member name="[Dim Circuit].[Circuit Name].&amp;[Miami International Autodrome]"/>
        <member name="[Dim Circuit].[Circuit Name].&amp;[Mosport International Raceway]"/>
        <member name=""/>
        <member name=""/>
        <member name="[Dim Circuit].[Circuit Name].&amp;[Okayama International Circuit]"/>
        <member name="[Dim Circuit].[Circuit Name].&amp;[Phoenix street circuit]"/>
        <member name="[Dim Circuit].[Circuit Name].&amp;[Prince George Circuit]"/>
        <member name=""/>
        <member name=""/>
        <member name="[Dim Circuit].[Circuit Name].&amp;[Riverside International Raceway]"/>
        <member name=""/>
        <member name=""/>
        <member name="[Dim Circuit].[Circuit Name].&amp;[Sebring International Raceway]"/>
        <member name="[Dim Circuit].[Circuit Name].&amp;[Sepang International Circuit]"/>
        <member name="[Dim Circuit].[Circuit Name].&amp;[Shanghai International Circuit]"/>
        <member name=""/>
        <member name=""/>
        <member name="[Dim Circuit].[Circuit Name].&amp;[Suzuka Circuit]"/>
        <member name=""/>
        <member name="[Dim Circuit].[Circuit Name].&amp;[Watkins Glen]"/>
        <member name="[Dim Circuit].[Circuit Name].&amp;[Yas Marina Circuit]"/>
        <member name=""/>
        <member name="[Dim Circuit].[Circuit Name].[All].UNKNOWNMEMBER"/>
      </members>
    </pivotHierarchy>
    <pivotHierarchy multipleItemSelectionAllowed="1">
      <members count="1" level="1">
        <member name="[Dim Circuit].[Continent].&amp;[Europe]"/>
      </members>
    </pivotHierarchy>
    <pivotHierarchy/>
    <pivotHierarchy/>
    <pivotHierarchy>
      <members count="7" level="1">
        <member name="[Dim Circuit].[Location Hierarchy].[Continent].&amp;[]"/>
        <member name="[Dim Circuit].[Location Hierarchy].[Continent].&amp;[Africa]"/>
        <member name="[Dim Circuit].[Location Hierarchy].[Continent].&amp;[Asia]"/>
        <member name="[Dim Circuit].[Location Hierarchy].[Continent].&amp;[North America]"/>
        <member name="[Dim Circuit].[Location Hierarchy].[Continent].&amp;[Oceania]"/>
        <member name="[Dim Circuit].[Location Hierarchy].[Continent].&amp;[South America]"/>
        <member name="[Dim Circuit].[Location Hierarchy].[All].UNKNOWNMEMBER"/>
      </members>
      <members count="1" level="2">
        <member name=""/>
      </members>
      <members count="9" level="3"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529DB8-E948-488C-A714-CF42C15C483B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F34:G58" firstHeaderRow="1" firstDataRow="1" firstDataCol="1" rowPageCount="1" colPageCount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Fields count="1">
    <field x="1"/>
  </rowFields>
  <rowItems count="24">
    <i>
      <x v="14"/>
    </i>
    <i>
      <x v="17"/>
    </i>
    <i>
      <x v="5"/>
    </i>
    <i>
      <x v="13"/>
    </i>
    <i>
      <x v="10"/>
    </i>
    <i>
      <x v="15"/>
    </i>
    <i>
      <x v="6"/>
    </i>
    <i>
      <x v="2"/>
    </i>
    <i>
      <x v="3"/>
    </i>
    <i>
      <x v="18"/>
    </i>
    <i>
      <x v="1"/>
    </i>
    <i>
      <x v="22"/>
    </i>
    <i>
      <x v="20"/>
    </i>
    <i>
      <x v="19"/>
    </i>
    <i>
      <x v="16"/>
    </i>
    <i>
      <x v="7"/>
    </i>
    <i>
      <x/>
    </i>
    <i>
      <x v="12"/>
    </i>
    <i>
      <x v="11"/>
    </i>
    <i>
      <x v="9"/>
    </i>
    <i>
      <x v="21"/>
    </i>
    <i>
      <x v="4"/>
    </i>
    <i>
      <x v="8"/>
    </i>
    <i t="grand">
      <x/>
    </i>
  </rowItems>
  <colItems count="1">
    <i/>
  </colItems>
  <pageFields count="1">
    <pageField fld="2" hier="37" name="[Dim Time].[Year].&amp;[2010]" cap="2010"/>
  </pageFields>
  <dataFields count="1">
    <dataField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28268D-F139-414C-88E2-408A6595ABF9}" name="PivotTable5" cacheId="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5" fieldListSortAscending="1">
  <location ref="A3:G5" firstHeaderRow="1" firstDataRow="2" firstDataCol="1" rowPageCount="1" colPageCount="1"/>
  <pivotFields count="3">
    <pivotField dataField="1" subtotalTop="0" showAll="0" defaultSubtotal="0"/>
    <pivotField axis="axisCol" allDrilled="1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Items count="1">
    <i/>
  </rowItems>
  <colFields count="1">
    <field x="1"/>
  </colFields>
  <colItems count="6">
    <i>
      <x v="1"/>
    </i>
    <i>
      <x v="2"/>
    </i>
    <i>
      <x/>
    </i>
    <i>
      <x v="4"/>
    </i>
    <i>
      <x v="3"/>
    </i>
    <i t="grand">
      <x/>
    </i>
  </colItems>
  <pageFields count="1">
    <pageField fld="2" hier="37" name="[Dim Time].[Year].&amp;[2010]" cap="2010"/>
  </pageFields>
  <dataFields count="1">
    <dataField fld="0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7C5366-9A19-47B5-8C19-F54DD5D444B7}" name="PivotTable4" cacheId="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 fieldListSortAscending="1">
  <location ref="K5:U14" firstHeaderRow="1" firstDataRow="2" firstDataCol="1" rowPageCount="2" colPageCount="1"/>
  <pivotFields count="5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Col" allDrilled="1" subtotalTop="0" showAll="0" sortType="descending" defaultSubtotal="0" defaultAttributeDrillState="1">
      <items count="9">
        <item s="1" x="0"/>
        <item s="1" x="1"/>
        <item s="1" x="2"/>
        <item s="1" x="3"/>
        <item s="1" x="4"/>
        <item s="1" x="5"/>
        <item s="1" x="6"/>
        <item s="1" x="7"/>
        <item s="1" x="8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0">
    <i>
      <x v="6"/>
    </i>
    <i>
      <x v="5"/>
    </i>
    <i>
      <x v="7"/>
    </i>
    <i>
      <x v="1"/>
    </i>
    <i>
      <x v="8"/>
    </i>
    <i>
      <x v="4"/>
    </i>
    <i>
      <x/>
    </i>
    <i>
      <x v="2"/>
    </i>
    <i>
      <x v="3"/>
    </i>
    <i t="grand">
      <x/>
    </i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chartFormats count="10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4144B-8497-4A58-998A-35E2F835E367}" name="PivotTable1" cacheId="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B31" firstHeaderRow="1" firstDataRow="1" firstDataCol="1" rowPageCount="2" colPageCount="1"/>
  <pivotFields count="4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allDrilled="1" subtotalTop="0" showAll="0" sortType="descending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27">
    <i>
      <x v="13"/>
    </i>
    <i>
      <x v="11"/>
    </i>
    <i>
      <x v="22"/>
    </i>
    <i>
      <x v="2"/>
    </i>
    <i>
      <x v="25"/>
    </i>
    <i>
      <x v="10"/>
    </i>
    <i>
      <x v="1"/>
    </i>
    <i>
      <x v="6"/>
    </i>
    <i>
      <x v="9"/>
    </i>
    <i>
      <x v="4"/>
    </i>
    <i>
      <x v="19"/>
    </i>
    <i>
      <x v="24"/>
    </i>
    <i>
      <x v="16"/>
    </i>
    <i>
      <x v="15"/>
    </i>
    <i>
      <x v="18"/>
    </i>
    <i>
      <x v="17"/>
    </i>
    <i>
      <x v="20"/>
    </i>
    <i>
      <x v="8"/>
    </i>
    <i>
      <x v="3"/>
    </i>
    <i>
      <x v="21"/>
    </i>
    <i>
      <x v="23"/>
    </i>
    <i>
      <x v="7"/>
    </i>
    <i>
      <x v="5"/>
    </i>
    <i>
      <x v="14"/>
    </i>
    <i>
      <x/>
    </i>
    <i>
      <x v="12"/>
    </i>
    <i t="grand">
      <x/>
    </i>
  </rowItems>
  <colItems count="1">
    <i/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00D414-BC42-451C-9F10-3DB99A7CAD38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32" firstHeaderRow="1" firstDataRow="1" firstDataCol="1" rowPageCount="2" colPageCount="1"/>
  <pivotFields count="4">
    <pivotField axis="axisRow" allDrilled="1" subtotalTop="0" showAll="0" dataSourceSort="1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pageFields count="2">
    <pageField fld="2" hier="22" name="[Dim Race].[Race Name Official].&amp;[British Grand Prix]" cap="British Grand Prix"/>
    <pageField fld="3" hier="37" name="[Dim Time].[Year].&amp;[1990]" cap="1990"/>
  </pageFields>
  <dataFields count="1">
    <dataField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 multipleItemSelectionAllowed="1">
      <members count="34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Degenerate Details].[Grid Position].&amp;[27]"/>
        <member name=""/>
        <member name=""/>
        <member name="[Degenerate Details].[Grid Position].&amp;[30]"/>
        <member name=""/>
        <member name=""/>
        <member name="[Degenerate Details].[Grid Position].&amp;[33]"/>
        <member name="[Degenerate Details].[Grid Position].&amp;[34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Race].[Race Name Official].&amp;[British Grand Prix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0" level="1">
        <member name="[Dim Time].[Year].&amp;[1990]"/>
        <member name="[Dim Time].[Year].&amp;[1991]"/>
        <member name="[Dim Time].[Year].&amp;[1992]"/>
        <member name="[Dim Time].[Year].&amp;[1993]"/>
        <member name="[Dim Time].[Year].&amp;[1994]"/>
        <member name="[Dim Time].[Year].&amp;[1995]"/>
        <member name="[Dim Time].[Year].&amp;[1996]"/>
        <member name="[Dim Time].[Year].&amp;[1997]"/>
        <member name="[Dim Time].[Year].&amp;[1998]"/>
        <member name="[Dim Time].[Year].&amp;[1999]"/>
        <member name="[Dim Time].[Year].&amp;[2000]"/>
        <member name="[Dim Time].[Year].&amp;[2001]"/>
        <member name="[Dim Time].[Year].&amp;[2002]"/>
        <member name="[Dim Time].[Year].&amp;[2003]"/>
        <member name="[Dim Time].[Year].&amp;[2004]"/>
        <member name="[Dim Time].[Year].&amp;[2005]"/>
        <member name="[Dim Time].[Year].&amp;[2006]"/>
        <member name="[Dim Time].[Year].&amp;[2007]"/>
        <member name="[Dim Time].[Year].&amp;[2008]"/>
        <member name="[Dim Time].[Year].&amp;[2009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BABA1E-A83D-4CB8-B63A-6BD641FCE2BF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:C29" firstHeaderRow="0" firstDataRow="1" firstDataCol="1"/>
  <pivotFields count="5">
    <pivotField axis="axisRow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28">
    <i>
      <x/>
    </i>
    <i r="1">
      <x/>
    </i>
    <i r="2">
      <x/>
    </i>
    <i r="2">
      <x v="1"/>
    </i>
    <i r="1">
      <x v="1"/>
    </i>
    <i r="2">
      <x/>
    </i>
    <i r="2">
      <x v="1"/>
    </i>
    <i r="2">
      <x v="2"/>
    </i>
    <i r="1">
      <x v="2"/>
    </i>
    <i r="2">
      <x/>
    </i>
    <i r="2">
      <x v="1"/>
    </i>
    <i r="2">
      <x v="2"/>
    </i>
    <i r="1">
      <x v="3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t="grand">
      <x/>
    </i>
  </rowItems>
  <colFields count="1">
    <field x="-2"/>
  </colFields>
  <colItems count="2">
    <i>
      <x/>
    </i>
    <i i="1">
      <x v="1"/>
    </i>
  </colItems>
  <dataFields count="2">
    <dataField fld="4" baseField="0" baseItem="0"/>
    <dataField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42"/>
    <rowHierarchyUsage hierarchyUsage="4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0A7DA-9FE7-47E8-A86B-C8A0C2243D7A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2:C18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550925-18BC-4527-BBCE-E54A3262D0D6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fieldListSortAscending="1">
  <location ref="A1:C7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A7137E-FDF2-411F-A7E9-D7AEEDDD54ED}" name="PivotTable4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" fieldListSortAscending="1">
  <location ref="F5:G16" firstHeaderRow="1" firstDataRow="1" firstDataCol="1" rowPageCount="3" colPageCount="1"/>
  <pivotFields count="5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2"/>
    </i>
    <i>
      <x v="3"/>
    </i>
    <i>
      <x/>
    </i>
    <i>
      <x v="8"/>
    </i>
    <i>
      <x v="6"/>
    </i>
    <i>
      <x v="4"/>
    </i>
    <i>
      <x v="9"/>
    </i>
    <i>
      <x v="1"/>
    </i>
    <i>
      <x v="7"/>
    </i>
    <i>
      <x v="5"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2010]" cap="2010"/>
    <pageField fld="4" hier="12" name="[Dim Constructor].[Continent].&amp;[Europe]" cap="Europe"/>
  </pageFields>
  <dataFields count="1">
    <dataField fld="2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2010]"/>
        <member name="[Dim Time].[Year].&amp;[2011]"/>
        <member name="[Dim Time].[Year].&amp;[2012]"/>
        <member name="[Dim Time].[Year].&amp;[2013]"/>
        <member name="[Dim Time].[Year].&amp;[2014]"/>
        <member name="[Dim Time].[Year].&amp;[2015]"/>
        <member name="[Dim Time].[Year].&amp;[2016]"/>
        <member name="[Dim Time].[Year].&amp;[2017]"/>
        <member name="[Dim Time].[Year].&amp;[2018]"/>
        <member name="[Dim Time].[Year].&amp;[2019]"/>
        <member name="[Dim Time].[Year].&amp;[202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46FFF8-6B66-4252-8CEA-043143963F3D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16" firstHeaderRow="1" firstDataRow="1" firstDataCol="1" rowPageCount="3" colPageCount="1"/>
  <pivotFields count="6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3"/>
    </i>
    <i>
      <x v="9"/>
    </i>
    <i>
      <x v="4"/>
    </i>
    <i>
      <x v="2"/>
    </i>
    <i>
      <x v="7"/>
    </i>
    <i>
      <x v="8"/>
    </i>
    <i>
      <x v="1"/>
    </i>
    <i>
      <x v="6"/>
    </i>
    <i>
      <x v="5"/>
    </i>
    <i>
      <x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1950]" cap="1950"/>
    <pageField fld="5" hier="12" name="[Dim Constructor].[Continent].&amp;[Europe]" cap="Europe"/>
  </pageFields>
  <dataFields count="1">
    <dataField fld="2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 multipleItemSelectionAllowed="1">
      <members count="1" level="1">
        <member name="[Dim Constructor].[Country Name].&amp;[Germany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1950]"/>
        <member name="[Dim Time].[Year].&amp;[1951]"/>
        <member name="[Dim Time].[Year].&amp;[1952]"/>
        <member name="[Dim Time].[Year].&amp;[1953]"/>
        <member name="[Dim Time].[Year].&amp;[1954]"/>
        <member name="[Dim Time].[Year].&amp;[1955]"/>
        <member name="[Dim Time].[Year].&amp;[1956]"/>
        <member name="[Dim Time].[Year].&amp;[1957]"/>
        <member name="[Dim Time].[Year].&amp;[1958]"/>
        <member name="[Dim Time].[Year].&amp;[1959]"/>
        <member name="[Dim Time].[Year].&amp;[196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1C926-7098-4912-8FCE-3C5B6C4A9ADA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fieldListSortAscending="1">
  <location ref="A1:G7" firstHeaderRow="1" firstDataRow="3" firstDataCol="1"/>
  <pivotFields count="5"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llDrilled="1" subtotalTop="0" showAll="0" defaultSubtotal="0" defaultAttributeDrillState="1">
      <items count="5">
        <item s="1" x="3"/>
        <item s="1" x="1"/>
        <item s="1" x="0"/>
        <item s="1" x="2"/>
        <item s="1" x="4"/>
      </items>
    </pivotField>
    <pivotField axis="axisRow" allDrilled="1" subtotalTop="0" showAll="0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1">
    <field x="2"/>
  </rowFields>
  <rowItems count="4">
    <i>
      <x/>
    </i>
    <i>
      <x v="1"/>
    </i>
    <i>
      <x v="2"/>
    </i>
    <i t="grand">
      <x/>
    </i>
  </rowItems>
  <colFields count="2">
    <field x="0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fld="3" baseField="0" baseItem="0"/>
    <dataField fld="4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44"/>
  </rowHierarchiesUsage>
  <colHierarchiesUsage count="2">
    <colHierarchyUsage hierarchyUsage="3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5532C8-184E-45A3-9671-D5D71185BFA5}" name="PivotTable6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3:B78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dataField="1" subtotalTop="0" showAll="0" defaultSubtotal="0"/>
  </pivotFields>
  <rowFields count="1">
    <field x="1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Items count="1">
    <i/>
  </colItems>
  <pageFields count="1">
    <pageField fld="0" hier="6" name="[Dim Circuit].[Circuit Name].&amp;[Autodromo Nazionale di Monza]" cap="Autodromo Nazionale di Monza"/>
  </pageFields>
  <dataFields count="1">
    <dataField fld="2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 multipleItemSelectionAllowed="1">
      <members count="1" level="1">
        <member name="[Dim Circuit].[Circuit Name].&amp;[Autodromo Nazionale di Monza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81D15-99CD-4BB2-BFAA-5B743EDB0261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E29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</items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nstructor Reliability KPI" fld="0" baseField="0" baseItem="0"/>
    <dataField name="Constructor Reliability KPI Goal" fld="1" baseField="0" baseItem="0"/>
    <dataField name="Constructor Reliability KPI Status" fld="2" baseField="0" baseItem="0"/>
    <dataField name="Constructor Reliability KPI Trend" fld="3" baseField="0" baseItem="0"/>
  </dataField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3"/>
            </reference>
          </references>
        </pivotArea>
      </pivotAreas>
    </conditionalFormat>
  </conditional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64D5D5-6773-4CD8-9F32-6679555721C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E33" firstHeaderRow="0" firstDataRow="1" firstDataCol="1" rowPageCount="1" colPageCount="1"/>
  <pivotFields count="9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>
      <items count="25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 d="1"/>
        <item c="1" x="18"/>
        <item c="1" x="19"/>
        <item c="1" x="20"/>
        <item c="1" x="21"/>
        <item c="1" x="22"/>
        <item c="1" x="23"/>
        <item c="1" x="24"/>
      </items>
    </pivotField>
    <pivotField axis="axisRow" subtotalTop="0" showAll="0" dataSourceSort="1" defaultSubtotal="0">
      <items count="4">
        <item c="1" x="0"/>
        <item c="1" x="1"/>
        <item c="1" x="2"/>
        <item c="1" x="3"/>
      </items>
    </pivotField>
    <pivotField axis="axisRow" subtotalTop="0" showAll="0" dataSourceSort="1" defaultSubtotal="0"/>
    <pivotField axis="axisRow" subtotalTop="0" showAll="0" dataSourceSort="1" defaultSubtotal="0"/>
    <pivotField axis="axisPage" allDrilled="1" subtotalTop="0" showAll="0" dataSourceSort="1" defaultSubtotal="0" defaultAttributeDrillState="1"/>
  </pivotFields>
  <rowFields count="2">
    <field x="4"/>
    <field x="5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r="1">
      <x/>
    </i>
    <i r="1">
      <x v="1"/>
    </i>
    <i r="1">
      <x v="2"/>
    </i>
    <i r="1">
      <x v="3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8" hier="37" name="[Dim Time].[Year].&amp;[2000]" cap="2000"/>
  </pageFields>
  <dataFields count="4">
    <dataField name="Constructor Reliability KPI" fld="0" baseField="0" baseItem="0"/>
    <dataField name="Constructor Reliability KPI Goal" fld="1" baseField="0" baseItem="0"/>
    <dataField name="Constructor Reliability KPI Status" fld="2" baseField="0" baseItem="0"/>
    <dataField name="Constructor Reliability KPI Trend" fld="3" baseField="0" baseItem="0"/>
  </dataFields>
  <conditionalFormats count="2">
    <conditionalFormat scope="data" priority="1">
      <pivotAreas count="1">
        <pivotArea outline="0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5" level="1">
        <member name="[Dim Time].[Year].&amp;[2000]"/>
        <member name="[Dim Time].[Year].&amp;[2001]"/>
        <member name="[Dim Time].[Year].&amp;[2002]"/>
        <member name="[Dim Time].[Year].&amp;[2003]"/>
        <member name="[Dim Time].[Year].&amp;[2004]"/>
        <member name="[Dim Time].[Year].&amp;[2005]"/>
        <member name="[Dim Time].[Year].&amp;[2006]"/>
        <member name="[Dim Time].[Year].&amp;[2007]"/>
        <member name="[Dim Time].[Year].&amp;[2008]"/>
        <member name="[Dim Time].[Year].&amp;[2009]"/>
        <member name="[Dim Time].[Year].&amp;[2010]"/>
        <member name="[Dim Time].[Year].&amp;[2011]"/>
        <member name="[Dim Time].[Year].&amp;[2012]"/>
        <member name="[Dim Time].[Year].&amp;[2013]"/>
        <member name="[Dim Time].[Year].&amp;[2014]"/>
        <member name="[Dim Time].[Year].&amp;[2015]"/>
        <member name="[Dim Time].[Year].&amp;[2016]"/>
        <member name="[Dim Time].[Year].&amp;[2017]"/>
        <member name="[Dim Time].[Year].&amp;[2018]"/>
        <member name="[Dim Time].[Year].&amp;[2019]"/>
        <member name="[Dim Time].[Year].&amp;[2020]"/>
        <member name="[Dim Time].[Year].&amp;[2021]"/>
        <member name="[Dim Time].[Year].&amp;[2022]"/>
        <member name="[Dim Time].[Year].&amp;[2023]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CF1DCF-C01A-4FF1-813C-1DB01E89E0AE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:B8" firstHeaderRow="1" firstDataRow="1" firstDataCol="1"/>
  <pivotFields count="3">
    <pivotField dataField="1" subtotalTop="0" showAll="0" defaultSubtotal="0"/>
    <pivotField axis="axisRow" allDrilled="1" subtotalTop="0" showAll="0" dataSourceSort="1" defaultSubtotal="0">
      <items count="6">
        <item c="1" x="0"/>
        <item c="1" x="1"/>
        <item c="1" x="2"/>
        <item c="1" x="3"/>
        <item c="1" x="4"/>
        <item c="1" x="5"/>
      </items>
    </pivotField>
    <pivotField axis="axisRow" subtotalTop="0" showAll="0" dataSourceSort="1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8B4C0B-EF4B-4A5D-9F21-5B84782BC0E9}" name="Table1" displayName="Table1" ref="D5:E14" totalsRowShown="0">
  <autoFilter ref="D5:E14" xr:uid="{828B4C0B-EF4B-4A5D-9F21-5B84782BC0E9}"/>
  <sortState xmlns:xlrd2="http://schemas.microsoft.com/office/spreadsheetml/2017/richdata2" ref="D6:E14">
    <sortCondition ref="D6:D14"/>
  </sortState>
  <tableColumns count="2">
    <tableColumn id="1" xr3:uid="{D773A40A-D963-4AD6-A9D6-3029B3BDEADC}" name="Column1" dataDxfId="1"/>
    <tableColumn id="2" xr3:uid="{575AEDC1-3929-4F67-B522-02BD62406F4A}" name="Column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85BA-929C-4775-BE45-611FB912CDC7}">
  <dimension ref="A2:D12"/>
  <sheetViews>
    <sheetView workbookViewId="0">
      <selection activeCell="L5" sqref="L5"/>
    </sheetView>
  </sheetViews>
  <sheetFormatPr defaultRowHeight="15" x14ac:dyDescent="0.25"/>
  <cols>
    <col min="1" max="1" width="21.7109375" bestFit="1" customWidth="1"/>
    <col min="2" max="2" width="17.28515625" bestFit="1" customWidth="1"/>
    <col min="3" max="3" width="13.85546875" bestFit="1" customWidth="1"/>
    <col min="4" max="5" width="12" bestFit="1" customWidth="1"/>
    <col min="6" max="6" width="21.7109375" bestFit="1" customWidth="1"/>
    <col min="7" max="7" width="16.7109375" bestFit="1" customWidth="1"/>
    <col min="8" max="8" width="26.7109375" bestFit="1" customWidth="1"/>
    <col min="9" max="9" width="21.85546875" bestFit="1" customWidth="1"/>
  </cols>
  <sheetData>
    <row r="2" spans="1:4" x14ac:dyDescent="0.25">
      <c r="A2" s="1" t="s">
        <v>12</v>
      </c>
      <c r="B2" t="s" vm="1">
        <v>13</v>
      </c>
    </row>
    <row r="4" spans="1:4" x14ac:dyDescent="0.25">
      <c r="A4" s="1" t="s">
        <v>0</v>
      </c>
      <c r="B4" s="1" t="s">
        <v>1</v>
      </c>
    </row>
    <row r="5" spans="1:4" x14ac:dyDescent="0.25">
      <c r="A5" s="1" t="s">
        <v>9</v>
      </c>
      <c r="B5" t="s">
        <v>10</v>
      </c>
      <c r="C5" t="s">
        <v>11</v>
      </c>
      <c r="D5" t="s">
        <v>8</v>
      </c>
    </row>
    <row r="6" spans="1:4" x14ac:dyDescent="0.25">
      <c r="A6" s="2" t="s">
        <v>2</v>
      </c>
      <c r="B6">
        <v>1.4611872146118721</v>
      </c>
      <c r="C6">
        <v>1.3251533742331287</v>
      </c>
      <c r="D6">
        <v>1.4031413612565444</v>
      </c>
    </row>
    <row r="7" spans="1:4" x14ac:dyDescent="0.25">
      <c r="A7" s="2" t="s">
        <v>3</v>
      </c>
      <c r="B7">
        <v>1.4928774928774928</v>
      </c>
      <c r="C7">
        <v>2.1724137931034484</v>
      </c>
      <c r="D7">
        <v>1.5892420537897312</v>
      </c>
    </row>
    <row r="8" spans="1:4" x14ac:dyDescent="0.25">
      <c r="A8" s="2" t="s">
        <v>4</v>
      </c>
      <c r="B8">
        <v>1.904040404040404</v>
      </c>
      <c r="C8">
        <v>1.9661016949152543</v>
      </c>
      <c r="D8">
        <v>1.9182879377431907</v>
      </c>
    </row>
    <row r="9" spans="1:4" x14ac:dyDescent="0.25">
      <c r="A9" s="2" t="s">
        <v>5</v>
      </c>
      <c r="B9">
        <v>1.9824561403508771</v>
      </c>
      <c r="C9">
        <v>2.36</v>
      </c>
      <c r="D9">
        <v>2.0611111111111109</v>
      </c>
    </row>
    <row r="10" spans="1:4" x14ac:dyDescent="0.25">
      <c r="A10" s="2" t="s">
        <v>6</v>
      </c>
      <c r="B10">
        <v>1.9039735099337749</v>
      </c>
      <c r="C10">
        <v>2.1296296296296298</v>
      </c>
      <c r="D10">
        <v>1.9634146341463414</v>
      </c>
    </row>
    <row r="11" spans="1:4" x14ac:dyDescent="0.25">
      <c r="A11" s="2" t="s">
        <v>7</v>
      </c>
      <c r="B11">
        <v>1.8850931677018634</v>
      </c>
      <c r="C11">
        <v>3.2105263157894739</v>
      </c>
      <c r="D11">
        <v>2.1870503597122304</v>
      </c>
    </row>
    <row r="12" spans="1:4" x14ac:dyDescent="0.25">
      <c r="A12" s="2" t="s">
        <v>8</v>
      </c>
      <c r="B12">
        <v>1.7698270721526534</v>
      </c>
      <c r="C12">
        <v>2.096774193548387</v>
      </c>
      <c r="D12">
        <v>1.8514541387024608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E13-AB7A-4EED-ADB2-AA4F27F23C82}">
  <dimension ref="A2:B22"/>
  <sheetViews>
    <sheetView zoomScaleNormal="100" workbookViewId="0">
      <selection activeCell="B29" sqref="B29"/>
    </sheetView>
  </sheetViews>
  <sheetFormatPr defaultRowHeight="15" x14ac:dyDescent="0.25"/>
  <cols>
    <col min="1" max="1" width="22.42578125" bestFit="1" customWidth="1"/>
    <col min="2" max="2" width="38.28515625" bestFit="1" customWidth="1"/>
    <col min="3" max="3" width="5" bestFit="1" customWidth="1"/>
    <col min="4" max="8" width="12" bestFit="1" customWidth="1"/>
    <col min="9" max="9" width="5" bestFit="1" customWidth="1"/>
    <col min="10" max="10" width="12" bestFit="1" customWidth="1"/>
    <col min="11" max="11" width="5" bestFit="1" customWidth="1"/>
    <col min="12" max="19" width="12" bestFit="1" customWidth="1"/>
    <col min="20" max="20" width="5" bestFit="1" customWidth="1"/>
    <col min="21" max="24" width="12" bestFit="1" customWidth="1"/>
    <col min="25" max="25" width="5" bestFit="1" customWidth="1"/>
    <col min="26" max="37" width="12" bestFit="1" customWidth="1"/>
    <col min="38" max="39" width="5" bestFit="1" customWidth="1"/>
    <col min="40" max="46" width="12" bestFit="1" customWidth="1"/>
    <col min="47" max="47" width="5" bestFit="1" customWidth="1"/>
    <col min="48" max="48" width="12" bestFit="1" customWidth="1"/>
    <col min="49" max="53" width="5" bestFit="1" customWidth="1"/>
    <col min="54" max="54" width="12" bestFit="1" customWidth="1"/>
    <col min="55" max="55" width="7" bestFit="1" customWidth="1"/>
    <col min="56" max="67" width="5" bestFit="1" customWidth="1"/>
    <col min="68" max="68" width="12" bestFit="1" customWidth="1"/>
    <col min="69" max="72" width="5" bestFit="1" customWidth="1"/>
    <col min="73" max="73" width="7" bestFit="1" customWidth="1"/>
    <col min="74" max="74" width="5" bestFit="1" customWidth="1"/>
    <col min="75" max="75" width="6" bestFit="1" customWidth="1"/>
    <col min="76" max="76" width="5" bestFit="1" customWidth="1"/>
    <col min="77" max="77" width="12" bestFit="1" customWidth="1"/>
  </cols>
  <sheetData>
    <row r="2" spans="1:2" x14ac:dyDescent="0.25">
      <c r="A2" s="1" t="s">
        <v>19</v>
      </c>
      <c r="B2" t="s" vm="2">
        <v>18</v>
      </c>
    </row>
    <row r="4" spans="1:2" x14ac:dyDescent="0.25">
      <c r="A4" s="1" t="s">
        <v>9</v>
      </c>
      <c r="B4" t="s">
        <v>20</v>
      </c>
    </row>
    <row r="5" spans="1:2" x14ac:dyDescent="0.25">
      <c r="A5" s="2" t="s">
        <v>18</v>
      </c>
    </row>
    <row r="6" spans="1:2" x14ac:dyDescent="0.25">
      <c r="A6" s="3" t="s">
        <v>14</v>
      </c>
    </row>
    <row r="7" spans="1:2" x14ac:dyDescent="0.25">
      <c r="A7" s="6" t="s">
        <v>104</v>
      </c>
      <c r="B7">
        <v>1.2086570477247502</v>
      </c>
    </row>
    <row r="8" spans="1:2" x14ac:dyDescent="0.25">
      <c r="A8" s="3" t="s">
        <v>15</v>
      </c>
    </row>
    <row r="9" spans="1:2" x14ac:dyDescent="0.25">
      <c r="A9" s="6" t="s">
        <v>105</v>
      </c>
      <c r="B9">
        <v>0.56140350877192979</v>
      </c>
    </row>
    <row r="10" spans="1:2" x14ac:dyDescent="0.25">
      <c r="A10" s="6" t="s">
        <v>106</v>
      </c>
      <c r="B10">
        <v>3.4645390070921986</v>
      </c>
    </row>
    <row r="11" spans="1:2" x14ac:dyDescent="0.25">
      <c r="A11" s="6" t="s">
        <v>107</v>
      </c>
      <c r="B11">
        <v>1.4308426073131955</v>
      </c>
    </row>
    <row r="12" spans="1:2" x14ac:dyDescent="0.25">
      <c r="A12" s="3" t="s">
        <v>16</v>
      </c>
    </row>
    <row r="13" spans="1:2" x14ac:dyDescent="0.25">
      <c r="A13" s="6" t="s">
        <v>108</v>
      </c>
      <c r="B13">
        <v>1.1666666666666667</v>
      </c>
    </row>
    <row r="14" spans="1:2" x14ac:dyDescent="0.25">
      <c r="A14" s="6" t="s">
        <v>109</v>
      </c>
      <c r="B14">
        <v>4.2163742690058479</v>
      </c>
    </row>
    <row r="15" spans="1:2" x14ac:dyDescent="0.25">
      <c r="A15" s="6" t="s">
        <v>110</v>
      </c>
      <c r="B15">
        <v>2.6777546777546779</v>
      </c>
    </row>
    <row r="16" spans="1:2" x14ac:dyDescent="0.25">
      <c r="A16" s="6" t="s">
        <v>111</v>
      </c>
      <c r="B16">
        <v>1.1880952380952381</v>
      </c>
    </row>
    <row r="17" spans="1:2" x14ac:dyDescent="0.25">
      <c r="A17" s="6" t="s">
        <v>112</v>
      </c>
      <c r="B17">
        <v>1.0948616600790513</v>
      </c>
    </row>
    <row r="18" spans="1:2" x14ac:dyDescent="0.25">
      <c r="A18" s="6" t="s">
        <v>113</v>
      </c>
      <c r="B18">
        <v>0.94680851063829785</v>
      </c>
    </row>
    <row r="19" spans="1:2" x14ac:dyDescent="0.25">
      <c r="A19" s="3" t="s">
        <v>17</v>
      </c>
    </row>
    <row r="20" spans="1:2" x14ac:dyDescent="0.25">
      <c r="A20" s="6" t="s">
        <v>114</v>
      </c>
      <c r="B20">
        <v>2.3026737967914439</v>
      </c>
    </row>
    <row r="21" spans="1:2" x14ac:dyDescent="0.25">
      <c r="A21" s="6" t="s">
        <v>115</v>
      </c>
      <c r="B21">
        <v>0.98565573770491799</v>
      </c>
    </row>
    <row r="22" spans="1:2" x14ac:dyDescent="0.25">
      <c r="A22" s="2" t="s">
        <v>8</v>
      </c>
      <c r="B22">
        <v>1.6894683372841179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31B9-7D5D-45E0-B1D2-57EB99EC7316}">
  <dimension ref="A1:K58"/>
  <sheetViews>
    <sheetView workbookViewId="0">
      <selection activeCell="C16" sqref="C16"/>
    </sheetView>
  </sheetViews>
  <sheetFormatPr defaultRowHeight="15" x14ac:dyDescent="0.25"/>
  <cols>
    <col min="1" max="1" width="14.42578125" bestFit="1" customWidth="1"/>
    <col min="2" max="2" width="17.28515625" bestFit="1" customWidth="1"/>
    <col min="3" max="5" width="12" bestFit="1" customWidth="1"/>
    <col min="6" max="6" width="15.5703125" bestFit="1" customWidth="1"/>
    <col min="7" max="7" width="17.28515625" bestFit="1" customWidth="1"/>
    <col min="8" max="12" width="12" bestFit="1" customWidth="1"/>
    <col min="13" max="13" width="8.7109375" bestFit="1" customWidth="1"/>
    <col min="14" max="14" width="7.42578125" bestFit="1" customWidth="1"/>
    <col min="15" max="15" width="12.140625" bestFit="1" customWidth="1"/>
    <col min="16" max="16" width="12.42578125" bestFit="1" customWidth="1"/>
    <col min="17" max="17" width="11" bestFit="1" customWidth="1"/>
    <col min="18" max="18" width="11.85546875" bestFit="1" customWidth="1"/>
    <col min="19" max="19" width="6" bestFit="1" customWidth="1"/>
    <col min="20" max="23" width="12" bestFit="1" customWidth="1"/>
  </cols>
  <sheetData>
    <row r="1" spans="1:7" x14ac:dyDescent="0.25">
      <c r="A1" s="1" t="s">
        <v>12</v>
      </c>
      <c r="B1" t="s" vm="3">
        <v>13</v>
      </c>
    </row>
    <row r="3" spans="1:7" x14ac:dyDescent="0.25">
      <c r="B3" s="1" t="s">
        <v>1</v>
      </c>
    </row>
    <row r="4" spans="1:7" x14ac:dyDescent="0.25">
      <c r="B4" t="s">
        <v>32</v>
      </c>
      <c r="C4" t="s">
        <v>35</v>
      </c>
      <c r="D4" t="s">
        <v>27</v>
      </c>
      <c r="E4" t="s">
        <v>39</v>
      </c>
      <c r="F4" t="s">
        <v>36</v>
      </c>
      <c r="G4" t="s">
        <v>8</v>
      </c>
    </row>
    <row r="5" spans="1:7" x14ac:dyDescent="0.25">
      <c r="A5" t="s">
        <v>21</v>
      </c>
      <c r="B5">
        <v>4.5844155844155843</v>
      </c>
      <c r="C5">
        <v>5.6934426229508199</v>
      </c>
      <c r="D5">
        <v>9.9909836065573767</v>
      </c>
      <c r="E5">
        <v>12.158196721311475</v>
      </c>
      <c r="F5">
        <v>12.445081967213115</v>
      </c>
      <c r="G5">
        <v>9.7461449498843482</v>
      </c>
    </row>
    <row r="32" spans="6:11" x14ac:dyDescent="0.25">
      <c r="F32" s="1" t="s">
        <v>12</v>
      </c>
      <c r="G32" t="s" vm="3">
        <v>13</v>
      </c>
      <c r="J32" s="4" t="s">
        <v>9</v>
      </c>
      <c r="K32" s="4" t="s">
        <v>21</v>
      </c>
    </row>
    <row r="33" spans="6:11" x14ac:dyDescent="0.25">
      <c r="J33" s="2" t="s">
        <v>36</v>
      </c>
      <c r="K33">
        <v>12.445081967213115</v>
      </c>
    </row>
    <row r="34" spans="6:11" x14ac:dyDescent="0.25">
      <c r="F34" s="1" t="s">
        <v>9</v>
      </c>
      <c r="G34" t="s">
        <v>21</v>
      </c>
      <c r="J34" s="2" t="s">
        <v>39</v>
      </c>
      <c r="K34">
        <v>12.158196721311475</v>
      </c>
    </row>
    <row r="35" spans="6:11" x14ac:dyDescent="0.25">
      <c r="F35" s="2" t="s">
        <v>36</v>
      </c>
      <c r="G35">
        <v>12.445081967213115</v>
      </c>
      <c r="J35" s="2" t="s">
        <v>27</v>
      </c>
      <c r="K35">
        <v>9.9909836065573767</v>
      </c>
    </row>
    <row r="36" spans="6:11" x14ac:dyDescent="0.25">
      <c r="F36" s="2" t="s">
        <v>39</v>
      </c>
      <c r="G36">
        <v>12.158196721311475</v>
      </c>
      <c r="J36" s="2" t="s">
        <v>35</v>
      </c>
      <c r="K36">
        <v>5.6934426229508199</v>
      </c>
    </row>
    <row r="37" spans="6:11" x14ac:dyDescent="0.25">
      <c r="F37" s="2" t="s">
        <v>27</v>
      </c>
      <c r="G37">
        <v>9.9909836065573767</v>
      </c>
      <c r="J37" s="2" t="s">
        <v>32</v>
      </c>
      <c r="K37">
        <v>4.5844155844155843</v>
      </c>
    </row>
    <row r="38" spans="6:11" x14ac:dyDescent="0.25">
      <c r="F38" s="2" t="s">
        <v>35</v>
      </c>
      <c r="G38">
        <v>5.6934426229508199</v>
      </c>
    </row>
    <row r="39" spans="6:11" x14ac:dyDescent="0.25">
      <c r="F39" s="2" t="s">
        <v>32</v>
      </c>
      <c r="G39">
        <v>4.5844155844155843</v>
      </c>
    </row>
    <row r="40" spans="6:11" x14ac:dyDescent="0.25">
      <c r="F40" s="2" t="s">
        <v>37</v>
      </c>
      <c r="G40">
        <v>3.7236842105263159</v>
      </c>
    </row>
    <row r="41" spans="6:11" x14ac:dyDescent="0.25">
      <c r="F41" s="2" t="s">
        <v>28</v>
      </c>
      <c r="G41">
        <v>3.0649717514124295</v>
      </c>
    </row>
    <row r="42" spans="6:11" x14ac:dyDescent="0.25">
      <c r="F42" s="2" t="s">
        <v>24</v>
      </c>
      <c r="G42">
        <v>2.7666666666666666</v>
      </c>
    </row>
    <row r="43" spans="6:11" x14ac:dyDescent="0.25">
      <c r="F43" s="2" t="s">
        <v>25</v>
      </c>
      <c r="G43">
        <v>2.7333333333333334</v>
      </c>
    </row>
    <row r="44" spans="6:11" x14ac:dyDescent="0.25">
      <c r="F44" s="2" t="s">
        <v>40</v>
      </c>
      <c r="G44">
        <v>2.5181159420289854</v>
      </c>
    </row>
    <row r="45" spans="6:11" x14ac:dyDescent="0.25">
      <c r="F45" s="2" t="s">
        <v>23</v>
      </c>
      <c r="G45">
        <v>1.8433734939759037</v>
      </c>
    </row>
    <row r="46" spans="6:11" x14ac:dyDescent="0.25">
      <c r="F46" s="2" t="s">
        <v>44</v>
      </c>
      <c r="G46">
        <v>1.6995073891625616</v>
      </c>
    </row>
    <row r="47" spans="6:11" x14ac:dyDescent="0.25">
      <c r="F47" s="2" t="s">
        <v>42</v>
      </c>
      <c r="G47">
        <v>1.1212121212121211</v>
      </c>
    </row>
    <row r="48" spans="6:11" x14ac:dyDescent="0.25">
      <c r="F48" s="2" t="s">
        <v>41</v>
      </c>
      <c r="G48">
        <v>0.91044776119402981</v>
      </c>
    </row>
    <row r="49" spans="6:7" x14ac:dyDescent="0.25">
      <c r="F49" s="2" t="s">
        <v>38</v>
      </c>
      <c r="G49">
        <v>0.83333333333333337</v>
      </c>
    </row>
    <row r="50" spans="6:7" x14ac:dyDescent="0.25">
      <c r="F50" s="2" t="s">
        <v>29</v>
      </c>
      <c r="G50">
        <v>0.77105263157894732</v>
      </c>
    </row>
    <row r="51" spans="6:7" x14ac:dyDescent="0.25">
      <c r="F51" s="2" t="s">
        <v>22</v>
      </c>
      <c r="G51">
        <v>0.70673076923076927</v>
      </c>
    </row>
    <row r="52" spans="6:7" x14ac:dyDescent="0.25">
      <c r="F52" s="2" t="s">
        <v>34</v>
      </c>
      <c r="G52">
        <v>1.834862385321101E-2</v>
      </c>
    </row>
    <row r="53" spans="6:7" x14ac:dyDescent="0.25">
      <c r="F53" s="2" t="s">
        <v>33</v>
      </c>
      <c r="G53">
        <v>1.282051282051282E-2</v>
      </c>
    </row>
    <row r="54" spans="6:7" x14ac:dyDescent="0.25">
      <c r="F54" s="2" t="s">
        <v>31</v>
      </c>
      <c r="G54">
        <v>0</v>
      </c>
    </row>
    <row r="55" spans="6:7" x14ac:dyDescent="0.25">
      <c r="F55" s="2" t="s">
        <v>43</v>
      </c>
      <c r="G55">
        <v>0</v>
      </c>
    </row>
    <row r="56" spans="6:7" x14ac:dyDescent="0.25">
      <c r="F56" s="2" t="s">
        <v>26</v>
      </c>
      <c r="G56">
        <v>0</v>
      </c>
    </row>
    <row r="57" spans="6:7" x14ac:dyDescent="0.25">
      <c r="F57" s="2" t="s">
        <v>30</v>
      </c>
      <c r="G57">
        <v>0</v>
      </c>
    </row>
    <row r="58" spans="6:7" x14ac:dyDescent="0.25">
      <c r="F58" s="2" t="s">
        <v>8</v>
      </c>
      <c r="G58">
        <v>4.8117619639527653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9DE6B-E2A7-4F4F-B456-34857276A490}">
  <dimension ref="A1:U31"/>
  <sheetViews>
    <sheetView topLeftCell="A2" zoomScale="85" zoomScaleNormal="85" workbookViewId="0">
      <selection activeCell="C17" sqref="C17"/>
    </sheetView>
  </sheetViews>
  <sheetFormatPr defaultRowHeight="15" x14ac:dyDescent="0.25"/>
  <cols>
    <col min="1" max="1" width="17.5703125" bestFit="1" customWidth="1"/>
    <col min="2" max="2" width="24.5703125" bestFit="1" customWidth="1"/>
    <col min="3" max="3" width="13.85546875" bestFit="1" customWidth="1"/>
    <col min="4" max="4" width="11" customWidth="1"/>
    <col min="5" max="5" width="11.28515625" bestFit="1" customWidth="1"/>
    <col min="11" max="11" width="24.5703125" bestFit="1" customWidth="1"/>
    <col min="12" max="12" width="17.28515625" bestFit="1" customWidth="1"/>
    <col min="13" max="13" width="15" bestFit="1" customWidth="1"/>
    <col min="14" max="14" width="15.85546875" bestFit="1" customWidth="1"/>
    <col min="15" max="15" width="15.140625" bestFit="1" customWidth="1"/>
    <col min="16" max="16" width="13.85546875" bestFit="1" customWidth="1"/>
    <col min="17" max="17" width="12.42578125" bestFit="1" customWidth="1"/>
    <col min="18" max="18" width="12" bestFit="1" customWidth="1"/>
    <col min="19" max="19" width="14.85546875" bestFit="1" customWidth="1"/>
    <col min="20" max="20" width="15" bestFit="1" customWidth="1"/>
    <col min="21" max="21" width="11.28515625" bestFit="1" customWidth="1"/>
  </cols>
  <sheetData>
    <row r="1" spans="1:21" x14ac:dyDescent="0.25">
      <c r="A1" s="1" t="s">
        <v>19</v>
      </c>
      <c r="B1" t="s" vm="6">
        <v>18</v>
      </c>
    </row>
    <row r="2" spans="1:21" x14ac:dyDescent="0.25">
      <c r="A2" s="1" t="s">
        <v>12</v>
      </c>
      <c r="B2" t="s" vm="7">
        <v>13</v>
      </c>
      <c r="K2" s="1" t="s">
        <v>19</v>
      </c>
      <c r="L2" t="s" vm="6">
        <v>18</v>
      </c>
    </row>
    <row r="3" spans="1:21" x14ac:dyDescent="0.25">
      <c r="K3" s="1" t="s">
        <v>12</v>
      </c>
      <c r="L3" t="s" vm="7">
        <v>13</v>
      </c>
    </row>
    <row r="4" spans="1:21" x14ac:dyDescent="0.25">
      <c r="A4" s="1" t="s">
        <v>9</v>
      </c>
      <c r="B4" t="s">
        <v>101</v>
      </c>
    </row>
    <row r="5" spans="1:21" x14ac:dyDescent="0.25">
      <c r="A5" s="2" t="s">
        <v>88</v>
      </c>
      <c r="B5" s="5">
        <v>0.45454545454545453</v>
      </c>
      <c r="D5" s="2" t="s">
        <v>102</v>
      </c>
      <c r="E5" s="5" t="s">
        <v>103</v>
      </c>
      <c r="K5" s="1" t="s">
        <v>101</v>
      </c>
      <c r="L5" s="1" t="s">
        <v>1</v>
      </c>
    </row>
    <row r="6" spans="1:21" x14ac:dyDescent="0.25">
      <c r="A6" s="2" t="s">
        <v>86</v>
      </c>
      <c r="B6" s="5">
        <v>0.30714285714285716</v>
      </c>
      <c r="D6" s="2" t="s">
        <v>76</v>
      </c>
      <c r="E6" s="5">
        <v>3.1007751937984496E-2</v>
      </c>
      <c r="K6" s="1" t="s">
        <v>9</v>
      </c>
      <c r="L6" t="s">
        <v>88</v>
      </c>
      <c r="M6" t="s">
        <v>86</v>
      </c>
      <c r="N6" t="s">
        <v>97</v>
      </c>
      <c r="O6" t="s">
        <v>77</v>
      </c>
      <c r="P6" t="s">
        <v>100</v>
      </c>
      <c r="Q6" t="s">
        <v>85</v>
      </c>
      <c r="R6" t="s">
        <v>76</v>
      </c>
      <c r="S6" t="s">
        <v>81</v>
      </c>
      <c r="T6" t="s">
        <v>84</v>
      </c>
      <c r="U6" t="s">
        <v>8</v>
      </c>
    </row>
    <row r="7" spans="1:21" x14ac:dyDescent="0.25">
      <c r="A7" s="2" t="s">
        <v>97</v>
      </c>
      <c r="B7" s="5">
        <v>6.8181818181818177E-2</v>
      </c>
      <c r="D7" s="2" t="s">
        <v>77</v>
      </c>
      <c r="E7" s="5">
        <v>6.4000000000000001E-2</v>
      </c>
      <c r="K7" s="2" t="s">
        <v>2</v>
      </c>
      <c r="L7" s="5">
        <v>0.11764705882352941</v>
      </c>
      <c r="M7" s="5">
        <v>0.55000000000000004</v>
      </c>
      <c r="N7" s="5">
        <v>0.25</v>
      </c>
      <c r="O7" s="5">
        <v>0</v>
      </c>
      <c r="P7" s="5">
        <v>0</v>
      </c>
      <c r="Q7" s="5"/>
      <c r="R7" s="5">
        <v>0</v>
      </c>
      <c r="S7" s="5"/>
      <c r="T7" s="5">
        <v>5.8823529411764705E-2</v>
      </c>
      <c r="U7" s="5">
        <v>0.14960629921259844</v>
      </c>
    </row>
    <row r="8" spans="1:21" x14ac:dyDescent="0.25">
      <c r="A8" s="2" t="s">
        <v>77</v>
      </c>
      <c r="B8" s="5">
        <v>6.4000000000000001E-2</v>
      </c>
      <c r="D8" s="2" t="s">
        <v>81</v>
      </c>
      <c r="E8" s="5">
        <v>2.7777777777777776E-2</v>
      </c>
      <c r="K8" s="2" t="s">
        <v>3</v>
      </c>
      <c r="L8" s="5">
        <v>0.15789473684210525</v>
      </c>
      <c r="M8" s="5">
        <v>0.52380952380952384</v>
      </c>
      <c r="N8" s="5">
        <v>5.5555555555555552E-2</v>
      </c>
      <c r="O8" s="5">
        <v>0.1111111111111111</v>
      </c>
      <c r="P8" s="5">
        <v>0.21052631578947367</v>
      </c>
      <c r="Q8" s="5">
        <v>0</v>
      </c>
      <c r="R8" s="5">
        <v>0</v>
      </c>
      <c r="S8" s="5">
        <v>0</v>
      </c>
      <c r="T8" s="5">
        <v>0</v>
      </c>
      <c r="U8" s="5">
        <v>0.12727272727272726</v>
      </c>
    </row>
    <row r="9" spans="1:21" x14ac:dyDescent="0.25">
      <c r="A9" s="2" t="s">
        <v>100</v>
      </c>
      <c r="B9" s="5">
        <v>5.3846153846153849E-2</v>
      </c>
      <c r="D9" s="2" t="s">
        <v>84</v>
      </c>
      <c r="E9" s="5">
        <v>1.4285714285714285E-2</v>
      </c>
      <c r="K9" s="2" t="s">
        <v>4</v>
      </c>
      <c r="L9" s="5">
        <v>0.16666666666666666</v>
      </c>
      <c r="M9" s="5">
        <v>0.6875</v>
      </c>
      <c r="N9" s="5">
        <v>0</v>
      </c>
      <c r="O9" s="5">
        <v>0</v>
      </c>
      <c r="P9" s="5">
        <v>0.125</v>
      </c>
      <c r="Q9" s="5">
        <v>0</v>
      </c>
      <c r="R9" s="5">
        <v>0</v>
      </c>
      <c r="S9" s="5">
        <v>0</v>
      </c>
      <c r="T9" s="5">
        <v>0</v>
      </c>
      <c r="U9" s="5">
        <v>0.11450381679389313</v>
      </c>
    </row>
    <row r="10" spans="1:21" x14ac:dyDescent="0.25">
      <c r="A10" s="2" t="s">
        <v>85</v>
      </c>
      <c r="B10" s="5">
        <v>3.4188034188034191E-2</v>
      </c>
      <c r="D10" s="2" t="s">
        <v>85</v>
      </c>
      <c r="E10" s="5">
        <v>3.4188034188034191E-2</v>
      </c>
      <c r="K10" s="2" t="s">
        <v>5</v>
      </c>
      <c r="L10" s="5">
        <v>0.52631578947368418</v>
      </c>
      <c r="M10" s="5">
        <v>0.38095238095238093</v>
      </c>
      <c r="N10" s="5">
        <v>0</v>
      </c>
      <c r="O10" s="5">
        <v>0</v>
      </c>
      <c r="P10" s="5">
        <v>5.5555555555555552E-2</v>
      </c>
      <c r="Q10" s="5">
        <v>0</v>
      </c>
      <c r="R10" s="5">
        <v>0</v>
      </c>
      <c r="S10" s="5">
        <v>0</v>
      </c>
      <c r="T10" s="5">
        <v>0</v>
      </c>
      <c r="U10" s="5">
        <v>0.10982658959537572</v>
      </c>
    </row>
    <row r="11" spans="1:21" x14ac:dyDescent="0.25">
      <c r="A11" s="2" t="s">
        <v>76</v>
      </c>
      <c r="B11" s="5">
        <v>3.1007751937984496E-2</v>
      </c>
      <c r="D11" s="2" t="s">
        <v>86</v>
      </c>
      <c r="E11" s="5">
        <v>0.30714285714285716</v>
      </c>
      <c r="K11" s="2" t="s">
        <v>6</v>
      </c>
      <c r="L11" s="5">
        <v>0.75</v>
      </c>
      <c r="M11" s="5">
        <v>0</v>
      </c>
      <c r="N11" s="5">
        <v>0</v>
      </c>
      <c r="O11" s="5">
        <v>0.15789473684210525</v>
      </c>
      <c r="P11" s="5">
        <v>0</v>
      </c>
      <c r="Q11" s="5">
        <v>0</v>
      </c>
      <c r="R11" s="5">
        <v>6.25E-2</v>
      </c>
      <c r="S11" s="5">
        <v>4.7619047619047616E-2</v>
      </c>
      <c r="T11" s="5"/>
      <c r="U11" s="5">
        <v>0.13422818791946309</v>
      </c>
    </row>
    <row r="12" spans="1:21" x14ac:dyDescent="0.25">
      <c r="A12" s="2" t="s">
        <v>81</v>
      </c>
      <c r="B12" s="5">
        <v>2.7777777777777776E-2</v>
      </c>
      <c r="D12" s="2" t="s">
        <v>88</v>
      </c>
      <c r="E12" s="5">
        <v>0.45454545454545453</v>
      </c>
      <c r="K12" s="2" t="s">
        <v>7</v>
      </c>
      <c r="L12" s="5">
        <v>0.86363636363636365</v>
      </c>
      <c r="M12" s="5">
        <v>0</v>
      </c>
      <c r="N12" s="5"/>
      <c r="O12" s="5">
        <v>0</v>
      </c>
      <c r="P12" s="5">
        <v>0</v>
      </c>
      <c r="Q12" s="5">
        <v>0</v>
      </c>
      <c r="R12" s="5">
        <v>0.05</v>
      </c>
      <c r="S12" s="5">
        <v>0</v>
      </c>
      <c r="T12" s="5"/>
      <c r="U12" s="5">
        <v>0.145985401459854</v>
      </c>
    </row>
    <row r="13" spans="1:21" x14ac:dyDescent="0.25">
      <c r="A13" s="2" t="s">
        <v>84</v>
      </c>
      <c r="B13" s="5">
        <v>1.4285714285714285E-2</v>
      </c>
      <c r="D13" s="2" t="s">
        <v>97</v>
      </c>
      <c r="E13" s="5">
        <v>6.8181818181818177E-2</v>
      </c>
      <c r="K13" s="2" t="s">
        <v>45</v>
      </c>
      <c r="L13" s="5">
        <v>0.39130434782608697</v>
      </c>
      <c r="M13" s="5">
        <v>9.0909090909090912E-2</v>
      </c>
      <c r="N13" s="5"/>
      <c r="O13" s="5">
        <v>0.13043478260869565</v>
      </c>
      <c r="P13" s="5">
        <v>0</v>
      </c>
      <c r="Q13" s="5">
        <v>0.16666666666666666</v>
      </c>
      <c r="R13" s="5">
        <v>9.5238095238095233E-2</v>
      </c>
      <c r="S13" s="5">
        <v>9.5238095238095233E-2</v>
      </c>
      <c r="T13" s="5"/>
      <c r="U13" s="5">
        <v>0.14012738853503184</v>
      </c>
    </row>
    <row r="14" spans="1:21" x14ac:dyDescent="0.25">
      <c r="A14" s="2" t="s">
        <v>79</v>
      </c>
      <c r="B14" s="5">
        <v>9.7087378640776691E-3</v>
      </c>
      <c r="D14" s="2" t="s">
        <v>100</v>
      </c>
      <c r="E14" s="5">
        <v>5.3846153846153849E-2</v>
      </c>
      <c r="K14" s="2" t="s">
        <v>8</v>
      </c>
      <c r="L14" s="5">
        <v>0.45454545454545453</v>
      </c>
      <c r="M14" s="5">
        <v>0.30714285714285716</v>
      </c>
      <c r="N14" s="5">
        <v>6.8181818181818177E-2</v>
      </c>
      <c r="O14" s="5">
        <v>6.4000000000000001E-2</v>
      </c>
      <c r="P14" s="5">
        <v>5.3846153846153849E-2</v>
      </c>
      <c r="Q14" s="5">
        <v>3.4188034188034191E-2</v>
      </c>
      <c r="R14" s="5">
        <v>3.1007751937984496E-2</v>
      </c>
      <c r="S14" s="5">
        <v>2.7777777777777776E-2</v>
      </c>
      <c r="T14" s="5">
        <v>1.4285714285714285E-2</v>
      </c>
      <c r="U14" s="5">
        <v>0.13089509143407121</v>
      </c>
    </row>
    <row r="15" spans="1:21" x14ac:dyDescent="0.25">
      <c r="A15" s="2" t="s">
        <v>94</v>
      </c>
      <c r="B15" s="5">
        <v>8.0000000000000002E-3</v>
      </c>
    </row>
    <row r="16" spans="1:21" x14ac:dyDescent="0.25">
      <c r="A16" s="2" t="s">
        <v>99</v>
      </c>
      <c r="B16" s="5">
        <v>0</v>
      </c>
    </row>
    <row r="17" spans="1:2" x14ac:dyDescent="0.25">
      <c r="A17" s="2" t="s">
        <v>91</v>
      </c>
      <c r="B17" s="5">
        <v>0</v>
      </c>
    </row>
    <row r="18" spans="1:2" x14ac:dyDescent="0.25">
      <c r="A18" s="2" t="s">
        <v>90</v>
      </c>
      <c r="B18" s="5">
        <v>0</v>
      </c>
    </row>
    <row r="19" spans="1:2" x14ac:dyDescent="0.25">
      <c r="A19" s="2" t="s">
        <v>93</v>
      </c>
      <c r="B19" s="5">
        <v>0</v>
      </c>
    </row>
    <row r="20" spans="1:2" x14ac:dyDescent="0.25">
      <c r="A20" s="2" t="s">
        <v>92</v>
      </c>
      <c r="B20" s="5">
        <v>0</v>
      </c>
    </row>
    <row r="21" spans="1:2" x14ac:dyDescent="0.25">
      <c r="A21" s="2" t="s">
        <v>95</v>
      </c>
      <c r="B21" s="5">
        <v>0</v>
      </c>
    </row>
    <row r="22" spans="1:2" x14ac:dyDescent="0.25">
      <c r="A22" s="2" t="s">
        <v>83</v>
      </c>
      <c r="B22" s="5">
        <v>0</v>
      </c>
    </row>
    <row r="23" spans="1:2" x14ac:dyDescent="0.25">
      <c r="A23" s="2" t="s">
        <v>78</v>
      </c>
      <c r="B23" s="5">
        <v>0</v>
      </c>
    </row>
    <row r="24" spans="1:2" x14ac:dyDescent="0.25">
      <c r="A24" s="2" t="s">
        <v>96</v>
      </c>
      <c r="B24" s="5">
        <v>0</v>
      </c>
    </row>
    <row r="25" spans="1:2" x14ac:dyDescent="0.25">
      <c r="A25" s="2" t="s">
        <v>98</v>
      </c>
      <c r="B25" s="5">
        <v>0</v>
      </c>
    </row>
    <row r="26" spans="1:2" x14ac:dyDescent="0.25">
      <c r="A26" s="2" t="s">
        <v>82</v>
      </c>
      <c r="B26" s="5">
        <v>0</v>
      </c>
    </row>
    <row r="27" spans="1:2" x14ac:dyDescent="0.25">
      <c r="A27" s="2" t="s">
        <v>80</v>
      </c>
      <c r="B27" s="5">
        <v>0</v>
      </c>
    </row>
    <row r="28" spans="1:2" x14ac:dyDescent="0.25">
      <c r="A28" s="2" t="s">
        <v>89</v>
      </c>
      <c r="B28" s="5">
        <v>0</v>
      </c>
    </row>
    <row r="29" spans="1:2" x14ac:dyDescent="0.25">
      <c r="A29" s="2" t="s">
        <v>75</v>
      </c>
      <c r="B29" s="5">
        <v>0</v>
      </c>
    </row>
    <row r="30" spans="1:2" x14ac:dyDescent="0.25">
      <c r="A30" s="2" t="s">
        <v>87</v>
      </c>
      <c r="B30" s="5">
        <v>0</v>
      </c>
    </row>
    <row r="31" spans="1:2" x14ac:dyDescent="0.25">
      <c r="A31" s="2" t="s">
        <v>8</v>
      </c>
      <c r="B31" s="5">
        <v>7.6327433628318578E-2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6F695-9755-4747-8DF5-C7D79B03B35D}">
  <dimension ref="A2:B32"/>
  <sheetViews>
    <sheetView workbookViewId="0">
      <selection activeCell="T19" sqref="T19"/>
    </sheetView>
  </sheetViews>
  <sheetFormatPr defaultRowHeight="15" x14ac:dyDescent="0.25"/>
  <cols>
    <col min="1" max="1" width="18.140625" bestFit="1" customWidth="1"/>
    <col min="2" max="2" width="22.28515625" bestFit="1" customWidth="1"/>
  </cols>
  <sheetData>
    <row r="2" spans="1:2" x14ac:dyDescent="0.25">
      <c r="A2" s="1" t="s">
        <v>73</v>
      </c>
      <c r="B2" t="s" vm="4">
        <v>74</v>
      </c>
    </row>
    <row r="3" spans="1:2" x14ac:dyDescent="0.25">
      <c r="A3" s="1" t="s">
        <v>12</v>
      </c>
      <c r="B3" t="s" vm="5">
        <v>13</v>
      </c>
    </row>
    <row r="5" spans="1:2" x14ac:dyDescent="0.25">
      <c r="A5" s="1" t="s">
        <v>9</v>
      </c>
      <c r="B5" t="s">
        <v>46</v>
      </c>
    </row>
    <row r="6" spans="1:2" x14ac:dyDescent="0.25">
      <c r="A6" s="2" t="s">
        <v>47</v>
      </c>
      <c r="B6">
        <v>7.333333333333333</v>
      </c>
    </row>
    <row r="7" spans="1:2" x14ac:dyDescent="0.25">
      <c r="A7" s="2" t="s">
        <v>48</v>
      </c>
      <c r="B7">
        <v>10.857142857142858</v>
      </c>
    </row>
    <row r="8" spans="1:2" x14ac:dyDescent="0.25">
      <c r="A8" s="2" t="s">
        <v>49</v>
      </c>
      <c r="B8">
        <v>12.461538461538462</v>
      </c>
    </row>
    <row r="9" spans="1:2" x14ac:dyDescent="0.25">
      <c r="A9" s="2" t="s">
        <v>50</v>
      </c>
      <c r="B9">
        <v>9.2666666666666675</v>
      </c>
    </row>
    <row r="10" spans="1:2" x14ac:dyDescent="0.25">
      <c r="A10" s="2" t="s">
        <v>51</v>
      </c>
      <c r="B10">
        <v>6.7058823529411766</v>
      </c>
    </row>
    <row r="11" spans="1:2" x14ac:dyDescent="0.25">
      <c r="A11" s="2" t="s">
        <v>52</v>
      </c>
      <c r="B11">
        <v>10</v>
      </c>
    </row>
    <row r="12" spans="1:2" x14ac:dyDescent="0.25">
      <c r="A12" s="2" t="s">
        <v>53</v>
      </c>
      <c r="B12">
        <v>22.181818181818183</v>
      </c>
    </row>
    <row r="13" spans="1:2" x14ac:dyDescent="0.25">
      <c r="A13" s="2" t="s">
        <v>54</v>
      </c>
      <c r="B13">
        <v>15.846153846153847</v>
      </c>
    </row>
    <row r="14" spans="1:2" x14ac:dyDescent="0.25">
      <c r="A14" s="2" t="s">
        <v>55</v>
      </c>
      <c r="B14">
        <v>15.571428571428571</v>
      </c>
    </row>
    <row r="15" spans="1:2" x14ac:dyDescent="0.25">
      <c r="A15" s="2" t="s">
        <v>56</v>
      </c>
      <c r="B15">
        <v>17.642857142857142</v>
      </c>
    </row>
    <row r="16" spans="1:2" x14ac:dyDescent="0.25">
      <c r="A16" s="2" t="s">
        <v>57</v>
      </c>
      <c r="B16">
        <v>20.23076923076923</v>
      </c>
    </row>
    <row r="17" spans="1:2" x14ac:dyDescent="0.25">
      <c r="A17" s="2" t="s">
        <v>58</v>
      </c>
      <c r="B17">
        <v>15.642857142857142</v>
      </c>
    </row>
    <row r="18" spans="1:2" x14ac:dyDescent="0.25">
      <c r="A18" s="2" t="s">
        <v>59</v>
      </c>
      <c r="B18">
        <v>16.866666666666667</v>
      </c>
    </row>
    <row r="19" spans="1:2" x14ac:dyDescent="0.25">
      <c r="A19" s="2" t="s">
        <v>60</v>
      </c>
      <c r="B19">
        <v>19.23076923076923</v>
      </c>
    </row>
    <row r="20" spans="1:2" x14ac:dyDescent="0.25">
      <c r="A20" s="2" t="s">
        <v>61</v>
      </c>
      <c r="B20">
        <v>21.23076923076923</v>
      </c>
    </row>
    <row r="21" spans="1:2" x14ac:dyDescent="0.25">
      <c r="A21" s="2" t="s">
        <v>62</v>
      </c>
      <c r="B21">
        <v>37.75</v>
      </c>
    </row>
    <row r="22" spans="1:2" x14ac:dyDescent="0.25">
      <c r="A22" s="2" t="s">
        <v>63</v>
      </c>
      <c r="B22">
        <v>32.222222222222221</v>
      </c>
    </row>
    <row r="23" spans="1:2" x14ac:dyDescent="0.25">
      <c r="A23" s="2" t="s">
        <v>64</v>
      </c>
      <c r="B23">
        <v>25.833333333333332</v>
      </c>
    </row>
    <row r="24" spans="1:2" x14ac:dyDescent="0.25">
      <c r="A24" s="2" t="s">
        <v>65</v>
      </c>
      <c r="B24">
        <v>42.375</v>
      </c>
    </row>
    <row r="25" spans="1:2" x14ac:dyDescent="0.25">
      <c r="A25" s="2" t="s">
        <v>66</v>
      </c>
      <c r="B25">
        <v>24.166666666666668</v>
      </c>
    </row>
    <row r="26" spans="1:2" x14ac:dyDescent="0.25">
      <c r="A26" s="2" t="s">
        <v>67</v>
      </c>
      <c r="B26">
        <v>20.636363636363637</v>
      </c>
    </row>
    <row r="27" spans="1:2" x14ac:dyDescent="0.25">
      <c r="A27" s="2" t="s">
        <v>68</v>
      </c>
      <c r="B27">
        <v>28.857142857142858</v>
      </c>
    </row>
    <row r="28" spans="1:2" x14ac:dyDescent="0.25">
      <c r="A28" s="2" t="s">
        <v>69</v>
      </c>
      <c r="B28">
        <v>31</v>
      </c>
    </row>
    <row r="29" spans="1:2" x14ac:dyDescent="0.25">
      <c r="A29" s="2" t="s">
        <v>70</v>
      </c>
      <c r="B29">
        <v>30.333333333333332</v>
      </c>
    </row>
    <row r="30" spans="1:2" x14ac:dyDescent="0.25">
      <c r="A30" s="2" t="s">
        <v>71</v>
      </c>
      <c r="B30">
        <v>41.5</v>
      </c>
    </row>
    <row r="31" spans="1:2" x14ac:dyDescent="0.25">
      <c r="A31" s="2" t="s">
        <v>72</v>
      </c>
      <c r="B31">
        <v>36</v>
      </c>
    </row>
    <row r="32" spans="1:2" x14ac:dyDescent="0.25">
      <c r="A32" s="2" t="s">
        <v>8</v>
      </c>
      <c r="B32">
        <v>18.508710801393729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C576-0D10-4BCC-9D72-B331BE3019BA}">
  <dimension ref="A1:C29"/>
  <sheetViews>
    <sheetView workbookViewId="0">
      <selection activeCell="D6" sqref="D6"/>
    </sheetView>
  </sheetViews>
  <sheetFormatPr defaultRowHeight="15" x14ac:dyDescent="0.25"/>
  <cols>
    <col min="1" max="1" width="21.28515625" bestFit="1" customWidth="1"/>
    <col min="2" max="2" width="17.28515625" bestFit="1" customWidth="1"/>
    <col min="3" max="3" width="15.5703125" bestFit="1" customWidth="1"/>
    <col min="4" max="4" width="22.28515625" bestFit="1" customWidth="1"/>
  </cols>
  <sheetData>
    <row r="1" spans="1:3" x14ac:dyDescent="0.25">
      <c r="A1" s="1" t="s">
        <v>9</v>
      </c>
      <c r="B1" t="s">
        <v>124</v>
      </c>
      <c r="C1" t="s">
        <v>123</v>
      </c>
    </row>
    <row r="2" spans="1:3" x14ac:dyDescent="0.25">
      <c r="A2" s="2" t="s">
        <v>10</v>
      </c>
    </row>
    <row r="3" spans="1:3" x14ac:dyDescent="0.25">
      <c r="A3" s="3" t="s">
        <v>119</v>
      </c>
    </row>
    <row r="4" spans="1:3" x14ac:dyDescent="0.25">
      <c r="A4" s="6" t="s">
        <v>120</v>
      </c>
      <c r="B4" s="5">
        <v>0.8833333333333333</v>
      </c>
      <c r="C4" s="5">
        <v>0.11666666666666667</v>
      </c>
    </row>
    <row r="5" spans="1:3" x14ac:dyDescent="0.25">
      <c r="A5" s="6" t="s">
        <v>121</v>
      </c>
      <c r="B5" s="5">
        <v>0.85</v>
      </c>
      <c r="C5" s="5">
        <v>0.15</v>
      </c>
    </row>
    <row r="6" spans="1:3" x14ac:dyDescent="0.25">
      <c r="A6" s="3" t="s">
        <v>116</v>
      </c>
    </row>
    <row r="7" spans="1:3" x14ac:dyDescent="0.25">
      <c r="A7" s="6" t="s">
        <v>120</v>
      </c>
      <c r="B7" s="5">
        <v>0.8666666666666667</v>
      </c>
      <c r="C7" s="5">
        <v>0.13333333333333333</v>
      </c>
    </row>
    <row r="8" spans="1:3" x14ac:dyDescent="0.25">
      <c r="A8" s="6" t="s">
        <v>121</v>
      </c>
      <c r="B8" s="5">
        <v>0.83571428571428574</v>
      </c>
      <c r="C8" s="5">
        <v>0.16428571428571428</v>
      </c>
    </row>
    <row r="9" spans="1:3" x14ac:dyDescent="0.25">
      <c r="A9" s="6" t="s">
        <v>122</v>
      </c>
      <c r="B9" s="5">
        <v>0.85</v>
      </c>
      <c r="C9" s="5">
        <v>0.15</v>
      </c>
    </row>
    <row r="10" spans="1:3" x14ac:dyDescent="0.25">
      <c r="A10" s="3" t="s">
        <v>117</v>
      </c>
    </row>
    <row r="11" spans="1:3" x14ac:dyDescent="0.25">
      <c r="A11" s="6" t="s">
        <v>120</v>
      </c>
      <c r="B11" s="5">
        <v>0.84583333333333333</v>
      </c>
      <c r="C11" s="5">
        <v>0.15416666666666667</v>
      </c>
    </row>
    <row r="12" spans="1:3" x14ac:dyDescent="0.25">
      <c r="A12" s="6" t="s">
        <v>121</v>
      </c>
      <c r="B12" s="5">
        <v>0.84750000000000003</v>
      </c>
      <c r="C12" s="5">
        <v>0.1525</v>
      </c>
    </row>
    <row r="13" spans="1:3" x14ac:dyDescent="0.25">
      <c r="A13" s="6" t="s">
        <v>122</v>
      </c>
      <c r="B13" s="5">
        <v>0.85</v>
      </c>
      <c r="C13" s="5">
        <v>0.15</v>
      </c>
    </row>
    <row r="14" spans="1:3" x14ac:dyDescent="0.25">
      <c r="A14" s="3" t="s">
        <v>118</v>
      </c>
    </row>
    <row r="15" spans="1:3" x14ac:dyDescent="0.25">
      <c r="A15" s="6" t="s">
        <v>120</v>
      </c>
      <c r="B15" s="5">
        <v>0.87083333333333335</v>
      </c>
      <c r="C15" s="5">
        <v>0.12916666666666668</v>
      </c>
    </row>
    <row r="16" spans="1:3" x14ac:dyDescent="0.25">
      <c r="A16" s="6" t="s">
        <v>121</v>
      </c>
      <c r="B16" s="5">
        <v>0.80714285714285716</v>
      </c>
      <c r="C16" s="5">
        <v>0.19285714285714287</v>
      </c>
    </row>
    <row r="17" spans="1:3" x14ac:dyDescent="0.25">
      <c r="A17" s="2" t="s">
        <v>11</v>
      </c>
    </row>
    <row r="18" spans="1:3" x14ac:dyDescent="0.25">
      <c r="A18" s="3" t="s">
        <v>119</v>
      </c>
    </row>
    <row r="19" spans="1:3" x14ac:dyDescent="0.25">
      <c r="A19" s="6" t="s">
        <v>120</v>
      </c>
      <c r="B19" s="5">
        <v>0.875</v>
      </c>
      <c r="C19" s="5">
        <v>0.125</v>
      </c>
    </row>
    <row r="20" spans="1:3" x14ac:dyDescent="0.25">
      <c r="A20" s="6" t="s">
        <v>121</v>
      </c>
      <c r="B20" s="5">
        <v>0.83333333333333337</v>
      </c>
      <c r="C20" s="5">
        <v>0.16666666666666666</v>
      </c>
    </row>
    <row r="21" spans="1:3" x14ac:dyDescent="0.25">
      <c r="A21" s="3" t="s">
        <v>116</v>
      </c>
    </row>
    <row r="22" spans="1:3" x14ac:dyDescent="0.25">
      <c r="A22" s="6" t="s">
        <v>120</v>
      </c>
      <c r="B22" s="5">
        <v>0.77500000000000002</v>
      </c>
      <c r="C22" s="5">
        <v>0.22500000000000001</v>
      </c>
    </row>
    <row r="23" spans="1:3" x14ac:dyDescent="0.25">
      <c r="A23" s="6" t="s">
        <v>121</v>
      </c>
      <c r="B23" s="5">
        <v>0.8</v>
      </c>
      <c r="C23" s="5">
        <v>0.2</v>
      </c>
    </row>
    <row r="24" spans="1:3" x14ac:dyDescent="0.25">
      <c r="A24" s="3" t="s">
        <v>117</v>
      </c>
    </row>
    <row r="25" spans="1:3" x14ac:dyDescent="0.25">
      <c r="A25" s="6" t="s">
        <v>120</v>
      </c>
      <c r="B25" s="5">
        <v>0.81874999999999998</v>
      </c>
      <c r="C25" s="5">
        <v>0.18124999999999999</v>
      </c>
    </row>
    <row r="26" spans="1:3" x14ac:dyDescent="0.25">
      <c r="A26" s="6" t="s">
        <v>121</v>
      </c>
      <c r="B26" s="5">
        <v>0.83750000000000002</v>
      </c>
      <c r="C26" s="5">
        <v>0.16250000000000001</v>
      </c>
    </row>
    <row r="27" spans="1:3" x14ac:dyDescent="0.25">
      <c r="A27" s="3" t="s">
        <v>118</v>
      </c>
    </row>
    <row r="28" spans="1:3" x14ac:dyDescent="0.25">
      <c r="A28" s="6" t="s">
        <v>120</v>
      </c>
      <c r="B28" s="5">
        <v>0.7</v>
      </c>
      <c r="C28" s="5">
        <v>0.3</v>
      </c>
    </row>
    <row r="29" spans="1:3" x14ac:dyDescent="0.25">
      <c r="A29" s="2" t="s">
        <v>8</v>
      </c>
      <c r="B29" s="5">
        <v>0.84333333333333338</v>
      </c>
      <c r="C29" s="5">
        <v>0.15666666666666668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423B5-9E53-4289-BFF1-32A26DD59C74}">
  <dimension ref="A1:C18"/>
  <sheetViews>
    <sheetView workbookViewId="0">
      <selection activeCell="A21" sqref="A21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29.140625" bestFit="1" customWidth="1"/>
    <col min="4" max="4" width="24.5703125" bestFit="1" customWidth="1"/>
  </cols>
  <sheetData>
    <row r="1" spans="1:3" x14ac:dyDescent="0.25">
      <c r="A1" s="1" t="s">
        <v>9</v>
      </c>
      <c r="B1" t="s">
        <v>123</v>
      </c>
      <c r="C1" t="s">
        <v>46</v>
      </c>
    </row>
    <row r="2" spans="1:3" x14ac:dyDescent="0.25">
      <c r="A2" s="2" t="s">
        <v>128</v>
      </c>
      <c r="B2" s="5">
        <v>0.44833759590792838</v>
      </c>
      <c r="C2">
        <v>22.692165044042653</v>
      </c>
    </row>
    <row r="3" spans="1:3" x14ac:dyDescent="0.25">
      <c r="A3" s="2" t="s">
        <v>127</v>
      </c>
      <c r="B3" s="5">
        <v>0.43169697798441131</v>
      </c>
      <c r="C3">
        <v>21.970163618864294</v>
      </c>
    </row>
    <row r="4" spans="1:3" x14ac:dyDescent="0.25">
      <c r="A4" s="2" t="s">
        <v>126</v>
      </c>
      <c r="B4" s="5">
        <v>0.43795322234705342</v>
      </c>
      <c r="C4">
        <v>23.093403598037433</v>
      </c>
    </row>
    <row r="5" spans="1:3" x14ac:dyDescent="0.25">
      <c r="A5" s="2" t="s">
        <v>125</v>
      </c>
      <c r="B5" s="5">
        <v>0.36974938228026827</v>
      </c>
      <c r="C5">
        <v>20.745169420330441</v>
      </c>
    </row>
    <row r="6" spans="1:3" x14ac:dyDescent="0.25">
      <c r="A6" s="2" t="s">
        <v>129</v>
      </c>
      <c r="B6" s="5">
        <v>0.28947368421052633</v>
      </c>
      <c r="C6">
        <v>16.462962962962962</v>
      </c>
    </row>
    <row r="7" spans="1:3" x14ac:dyDescent="0.25">
      <c r="A7" s="2" t="s">
        <v>8</v>
      </c>
      <c r="B7" s="5">
        <v>0.42289579907310509</v>
      </c>
      <c r="C7">
        <v>22.168771452626125</v>
      </c>
    </row>
    <row r="12" spans="1:3" x14ac:dyDescent="0.25">
      <c r="A12" s="1" t="s">
        <v>9</v>
      </c>
      <c r="B12" t="s">
        <v>101</v>
      </c>
      <c r="C12" t="s">
        <v>130</v>
      </c>
    </row>
    <row r="13" spans="1:3" x14ac:dyDescent="0.25">
      <c r="A13" s="2" t="s">
        <v>128</v>
      </c>
      <c r="B13" s="5">
        <v>7.1859063514140009E-2</v>
      </c>
      <c r="C13" s="7">
        <v>204.97563624511076</v>
      </c>
    </row>
    <row r="14" spans="1:3" x14ac:dyDescent="0.25">
      <c r="A14" s="2" t="s">
        <v>127</v>
      </c>
      <c r="B14" s="5">
        <v>9.3840230991337828E-2</v>
      </c>
      <c r="C14" s="7">
        <v>205.16611265899439</v>
      </c>
    </row>
    <row r="15" spans="1:3" x14ac:dyDescent="0.25">
      <c r="A15" s="2" t="s">
        <v>126</v>
      </c>
      <c r="B15" s="5">
        <v>7.8502634926403775E-2</v>
      </c>
      <c r="C15" s="7">
        <v>203.2058367206337</v>
      </c>
    </row>
    <row r="16" spans="1:3" x14ac:dyDescent="0.25">
      <c r="A16" s="2" t="s">
        <v>125</v>
      </c>
      <c r="B16" s="5">
        <v>4.2005040604872583E-2</v>
      </c>
      <c r="C16" s="7">
        <v>204.29969566736577</v>
      </c>
    </row>
    <row r="17" spans="1:3" x14ac:dyDescent="0.25">
      <c r="A17" s="2" t="s">
        <v>129</v>
      </c>
      <c r="B17" s="5">
        <v>1.8518518518518517E-2</v>
      </c>
      <c r="C17" s="7">
        <v>200.14666666666656</v>
      </c>
    </row>
    <row r="18" spans="1:3" x14ac:dyDescent="0.25">
      <c r="A18" s="2" t="s">
        <v>8</v>
      </c>
      <c r="B18" s="5">
        <v>7.3052263454439478E-2</v>
      </c>
      <c r="C18" s="7">
        <v>204.11633034415902</v>
      </c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5DD8F-BFB0-4DF7-9536-0917C46DFC86}">
  <dimension ref="A1:G16"/>
  <sheetViews>
    <sheetView topLeftCell="A4" zoomScaleNormal="100" workbookViewId="0">
      <selection activeCell="H23" sqref="H23"/>
    </sheetView>
  </sheetViews>
  <sheetFormatPr defaultRowHeight="15" x14ac:dyDescent="0.25"/>
  <cols>
    <col min="1" max="1" width="14.5703125" bestFit="1" customWidth="1"/>
    <col min="2" max="2" width="20.42578125" bestFit="1" customWidth="1"/>
    <col min="6" max="6" width="14.5703125" bestFit="1" customWidth="1"/>
    <col min="7" max="7" width="20.42578125" bestFit="1" customWidth="1"/>
  </cols>
  <sheetData>
    <row r="1" spans="1:7" x14ac:dyDescent="0.25">
      <c r="A1" s="1" t="s">
        <v>147</v>
      </c>
      <c r="B1" t="s" vm="8">
        <v>148</v>
      </c>
      <c r="F1" s="1" t="s">
        <v>147</v>
      </c>
      <c r="G1" t="s" vm="8">
        <v>148</v>
      </c>
    </row>
    <row r="2" spans="1:7" x14ac:dyDescent="0.25">
      <c r="A2" s="1" t="s">
        <v>12</v>
      </c>
      <c r="B2" t="s" vm="9">
        <v>13</v>
      </c>
      <c r="F2" s="1" t="s">
        <v>12</v>
      </c>
      <c r="G2" t="s" vm="10">
        <v>13</v>
      </c>
    </row>
    <row r="3" spans="1:7" x14ac:dyDescent="0.25">
      <c r="A3" s="1" t="s">
        <v>19</v>
      </c>
      <c r="B3" t="s" vm="11">
        <v>18</v>
      </c>
      <c r="F3" s="1" t="s">
        <v>19</v>
      </c>
      <c r="G3" t="s" vm="11">
        <v>18</v>
      </c>
    </row>
    <row r="5" spans="1:7" x14ac:dyDescent="0.25">
      <c r="A5" s="1" t="s">
        <v>9</v>
      </c>
      <c r="B5" t="s">
        <v>149</v>
      </c>
      <c r="F5" s="1" t="s">
        <v>9</v>
      </c>
      <c r="G5" t="s">
        <v>149</v>
      </c>
    </row>
    <row r="6" spans="1:7" x14ac:dyDescent="0.25">
      <c r="A6" s="2" t="s">
        <v>135</v>
      </c>
      <c r="B6">
        <v>232</v>
      </c>
      <c r="F6" s="2" t="s">
        <v>135</v>
      </c>
      <c r="G6">
        <v>70</v>
      </c>
    </row>
    <row r="7" spans="1:7" x14ac:dyDescent="0.25">
      <c r="A7" s="2" t="s">
        <v>145</v>
      </c>
      <c r="B7">
        <v>70</v>
      </c>
      <c r="F7" s="2" t="s">
        <v>136</v>
      </c>
      <c r="G7">
        <v>47</v>
      </c>
    </row>
    <row r="8" spans="1:7" x14ac:dyDescent="0.25">
      <c r="A8" s="2" t="s">
        <v>136</v>
      </c>
      <c r="B8">
        <v>64</v>
      </c>
      <c r="F8" s="2" t="s">
        <v>132</v>
      </c>
      <c r="G8">
        <v>37</v>
      </c>
    </row>
    <row r="9" spans="1:7" x14ac:dyDescent="0.25">
      <c r="A9" s="2" t="s">
        <v>133</v>
      </c>
      <c r="B9">
        <v>33</v>
      </c>
      <c r="F9" s="2" t="s">
        <v>144</v>
      </c>
      <c r="G9">
        <v>35</v>
      </c>
    </row>
    <row r="10" spans="1:7" x14ac:dyDescent="0.25">
      <c r="A10" s="2" t="s">
        <v>141</v>
      </c>
      <c r="B10">
        <v>31</v>
      </c>
      <c r="F10" s="2" t="s">
        <v>142</v>
      </c>
      <c r="G10">
        <v>30</v>
      </c>
    </row>
    <row r="11" spans="1:7" x14ac:dyDescent="0.25">
      <c r="A11" s="2" t="s">
        <v>144</v>
      </c>
      <c r="B11">
        <v>26</v>
      </c>
      <c r="F11" s="2" t="s">
        <v>137</v>
      </c>
      <c r="G11">
        <v>25</v>
      </c>
    </row>
    <row r="12" spans="1:7" x14ac:dyDescent="0.25">
      <c r="A12" s="2" t="s">
        <v>132</v>
      </c>
      <c r="B12">
        <v>20</v>
      </c>
      <c r="F12" s="2" t="s">
        <v>146</v>
      </c>
      <c r="G12">
        <v>17</v>
      </c>
    </row>
    <row r="13" spans="1:7" x14ac:dyDescent="0.25">
      <c r="A13" s="2" t="s">
        <v>140</v>
      </c>
      <c r="B13">
        <v>17</v>
      </c>
      <c r="F13" s="2" t="s">
        <v>134</v>
      </c>
      <c r="G13">
        <v>15</v>
      </c>
    </row>
    <row r="14" spans="1:7" x14ac:dyDescent="0.25">
      <c r="A14" s="2" t="s">
        <v>138</v>
      </c>
      <c r="B14">
        <v>16</v>
      </c>
      <c r="F14" s="2" t="s">
        <v>143</v>
      </c>
      <c r="G14">
        <v>12</v>
      </c>
    </row>
    <row r="15" spans="1:7" x14ac:dyDescent="0.25">
      <c r="A15" s="2" t="s">
        <v>131</v>
      </c>
      <c r="B15">
        <v>15</v>
      </c>
      <c r="F15" s="2" t="s">
        <v>139</v>
      </c>
      <c r="G15">
        <v>9</v>
      </c>
    </row>
    <row r="16" spans="1:7" x14ac:dyDescent="0.25">
      <c r="A16" s="2" t="s">
        <v>8</v>
      </c>
      <c r="B16">
        <v>524</v>
      </c>
      <c r="F16" s="2" t="s">
        <v>8</v>
      </c>
      <c r="G16">
        <v>297</v>
      </c>
    </row>
  </sheetData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CC3FE-4B54-4744-8CC6-5A0AAA473A3F}">
  <dimension ref="A1:G7"/>
  <sheetViews>
    <sheetView workbookViewId="0">
      <selection activeCell="A17" sqref="A17"/>
    </sheetView>
  </sheetViews>
  <sheetFormatPr defaultRowHeight="15" x14ac:dyDescent="0.25"/>
  <cols>
    <col min="1" max="1" width="15.5703125" bestFit="1" customWidth="1"/>
    <col min="2" max="2" width="31.140625" bestFit="1" customWidth="1"/>
    <col min="3" max="3" width="29.42578125" bestFit="1" customWidth="1"/>
    <col min="4" max="4" width="31.140625" bestFit="1" customWidth="1"/>
    <col min="5" max="5" width="29.42578125" bestFit="1" customWidth="1"/>
    <col min="6" max="6" width="36.140625" bestFit="1" customWidth="1"/>
    <col min="7" max="7" width="34.5703125" bestFit="1" customWidth="1"/>
    <col min="8" max="8" width="36.140625" bestFit="1" customWidth="1"/>
    <col min="9" max="9" width="34.5703125" bestFit="1" customWidth="1"/>
  </cols>
  <sheetData>
    <row r="1" spans="1:7" x14ac:dyDescent="0.25">
      <c r="B1" s="1" t="s">
        <v>1</v>
      </c>
    </row>
    <row r="2" spans="1:7" x14ac:dyDescent="0.25">
      <c r="B2" t="s">
        <v>10</v>
      </c>
      <c r="D2" t="s">
        <v>11</v>
      </c>
      <c r="F2" t="s">
        <v>150</v>
      </c>
      <c r="G2" t="s">
        <v>152</v>
      </c>
    </row>
    <row r="3" spans="1:7" x14ac:dyDescent="0.25">
      <c r="A3" s="1" t="s">
        <v>9</v>
      </c>
      <c r="B3" t="s">
        <v>151</v>
      </c>
      <c r="C3" t="s">
        <v>153</v>
      </c>
      <c r="D3" t="s">
        <v>151</v>
      </c>
      <c r="E3" t="s">
        <v>153</v>
      </c>
    </row>
    <row r="4" spans="1:7" x14ac:dyDescent="0.25">
      <c r="A4" s="2" t="s">
        <v>120</v>
      </c>
      <c r="B4">
        <v>3</v>
      </c>
      <c r="C4">
        <v>132</v>
      </c>
      <c r="D4">
        <v>6</v>
      </c>
      <c r="E4">
        <v>39</v>
      </c>
      <c r="F4">
        <v>9</v>
      </c>
      <c r="G4">
        <v>171</v>
      </c>
    </row>
    <row r="5" spans="1:7" x14ac:dyDescent="0.25">
      <c r="A5" s="2" t="s">
        <v>121</v>
      </c>
      <c r="B5">
        <v>5</v>
      </c>
      <c r="C5">
        <v>121</v>
      </c>
      <c r="D5">
        <v>2</v>
      </c>
      <c r="E5">
        <v>46</v>
      </c>
      <c r="F5">
        <v>7</v>
      </c>
      <c r="G5">
        <v>167</v>
      </c>
    </row>
    <row r="6" spans="1:7" x14ac:dyDescent="0.25">
      <c r="A6" s="2" t="s">
        <v>122</v>
      </c>
      <c r="B6">
        <v>1</v>
      </c>
      <c r="C6">
        <v>5</v>
      </c>
      <c r="F6">
        <v>1</v>
      </c>
      <c r="G6">
        <v>5</v>
      </c>
    </row>
    <row r="7" spans="1:7" x14ac:dyDescent="0.25">
      <c r="A7" s="2" t="s">
        <v>8</v>
      </c>
      <c r="B7">
        <v>9</v>
      </c>
      <c r="C7">
        <v>258</v>
      </c>
      <c r="D7">
        <v>8</v>
      </c>
      <c r="E7">
        <v>85</v>
      </c>
      <c r="F7">
        <v>17</v>
      </c>
      <c r="G7">
        <v>343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B6D0-B4FD-434B-8FDE-4C45FD0FBFB6}">
  <dimension ref="A1:B78"/>
  <sheetViews>
    <sheetView topLeftCell="A6" zoomScale="130" zoomScaleNormal="130" workbookViewId="0">
      <selection activeCell="P33" sqref="P33"/>
    </sheetView>
  </sheetViews>
  <sheetFormatPr defaultRowHeight="15" x14ac:dyDescent="0.25"/>
  <cols>
    <col min="1" max="1" width="13.42578125" bestFit="1" customWidth="1"/>
    <col min="2" max="2" width="31.5703125" bestFit="1" customWidth="1"/>
    <col min="3" max="3" width="20.28515625" bestFit="1" customWidth="1"/>
  </cols>
  <sheetData>
    <row r="1" spans="1:2" x14ac:dyDescent="0.25">
      <c r="A1" s="1" t="s">
        <v>154</v>
      </c>
      <c r="B1" t="s" vm="12">
        <v>155</v>
      </c>
    </row>
    <row r="3" spans="1:2" x14ac:dyDescent="0.25">
      <c r="A3" s="1" t="s">
        <v>9</v>
      </c>
      <c r="B3" t="s">
        <v>223</v>
      </c>
    </row>
    <row r="4" spans="1:2" x14ac:dyDescent="0.25">
      <c r="A4" s="2" t="s">
        <v>170</v>
      </c>
      <c r="B4" s="7">
        <v>10335466.666666666</v>
      </c>
    </row>
    <row r="5" spans="1:2" x14ac:dyDescent="0.25">
      <c r="A5" s="2" t="s">
        <v>171</v>
      </c>
      <c r="B5" s="7">
        <v>9771600</v>
      </c>
    </row>
    <row r="6" spans="1:2" x14ac:dyDescent="0.25">
      <c r="A6" s="2" t="s">
        <v>172</v>
      </c>
      <c r="B6" s="7">
        <v>10324950</v>
      </c>
    </row>
    <row r="7" spans="1:2" x14ac:dyDescent="0.25">
      <c r="A7" s="2" t="s">
        <v>173</v>
      </c>
      <c r="B7" s="7">
        <v>10186600</v>
      </c>
    </row>
    <row r="8" spans="1:2" x14ac:dyDescent="0.25">
      <c r="A8" s="2" t="s">
        <v>174</v>
      </c>
      <c r="B8" s="7">
        <v>10067900</v>
      </c>
    </row>
    <row r="9" spans="1:2" x14ac:dyDescent="0.25">
      <c r="A9" s="2" t="s">
        <v>175</v>
      </c>
      <c r="B9" s="7">
        <v>8775500</v>
      </c>
    </row>
    <row r="10" spans="1:2" x14ac:dyDescent="0.25">
      <c r="A10" s="2" t="s">
        <v>176</v>
      </c>
      <c r="B10" s="7">
        <v>8625100</v>
      </c>
    </row>
    <row r="11" spans="1:2" x14ac:dyDescent="0.25">
      <c r="A11" s="2" t="s">
        <v>177</v>
      </c>
      <c r="B11" s="7">
        <v>9324500</v>
      </c>
    </row>
    <row r="12" spans="1:2" x14ac:dyDescent="0.25">
      <c r="A12" s="2" t="s">
        <v>178</v>
      </c>
      <c r="B12" s="7">
        <v>7445300</v>
      </c>
    </row>
    <row r="13" spans="1:2" x14ac:dyDescent="0.25">
      <c r="A13" s="2" t="s">
        <v>179</v>
      </c>
      <c r="B13" s="7">
        <v>7495100</v>
      </c>
    </row>
    <row r="14" spans="1:2" x14ac:dyDescent="0.25">
      <c r="A14" s="2" t="s">
        <v>180</v>
      </c>
      <c r="B14" s="7">
        <v>8543000</v>
      </c>
    </row>
    <row r="15" spans="1:2" x14ac:dyDescent="0.25">
      <c r="A15" s="2" t="s">
        <v>181</v>
      </c>
      <c r="B15" s="7">
        <v>7493100</v>
      </c>
    </row>
    <row r="16" spans="1:2" x14ac:dyDescent="0.25">
      <c r="A16" s="2" t="s">
        <v>182</v>
      </c>
      <c r="B16" s="7">
        <v>8995820</v>
      </c>
    </row>
    <row r="17" spans="1:2" x14ac:dyDescent="0.25">
      <c r="A17" s="2" t="s">
        <v>183</v>
      </c>
      <c r="B17" s="7">
        <v>8707100</v>
      </c>
    </row>
    <row r="18" spans="1:2" x14ac:dyDescent="0.25">
      <c r="A18" s="2" t="s">
        <v>184</v>
      </c>
      <c r="B18" s="7">
        <v>7884800</v>
      </c>
    </row>
    <row r="19" spans="1:2" x14ac:dyDescent="0.25">
      <c r="A19" s="2" t="s">
        <v>185</v>
      </c>
      <c r="B19" s="7">
        <v>7516725</v>
      </c>
    </row>
    <row r="20" spans="1:2" x14ac:dyDescent="0.25">
      <c r="A20" s="2" t="s">
        <v>186</v>
      </c>
      <c r="B20" s="7">
        <v>6438766.666666667</v>
      </c>
    </row>
    <row r="21" spans="1:2" x14ac:dyDescent="0.25">
      <c r="A21" s="2" t="s">
        <v>187</v>
      </c>
      <c r="B21" s="7">
        <v>6244975</v>
      </c>
    </row>
    <row r="22" spans="1:2" x14ac:dyDescent="0.25">
      <c r="A22" s="2" t="s">
        <v>188</v>
      </c>
      <c r="B22" s="7">
        <v>6073800</v>
      </c>
    </row>
    <row r="23" spans="1:2" x14ac:dyDescent="0.25">
      <c r="A23" s="2" t="s">
        <v>189</v>
      </c>
      <c r="B23" s="7">
        <v>5958036</v>
      </c>
    </row>
    <row r="24" spans="1:2" x14ac:dyDescent="0.25">
      <c r="A24" s="2" t="s">
        <v>190</v>
      </c>
      <c r="B24" s="7">
        <v>5961691.666666667</v>
      </c>
    </row>
    <row r="25" spans="1:2" x14ac:dyDescent="0.25">
      <c r="A25" s="2" t="s">
        <v>191</v>
      </c>
      <c r="B25" s="7">
        <v>4709468.5714285718</v>
      </c>
    </row>
    <row r="26" spans="1:2" x14ac:dyDescent="0.25">
      <c r="A26" s="2" t="s">
        <v>192</v>
      </c>
      <c r="B26" s="7">
        <v>5435316.666666667</v>
      </c>
    </row>
    <row r="27" spans="1:2" x14ac:dyDescent="0.25">
      <c r="A27" s="2" t="s">
        <v>193</v>
      </c>
      <c r="B27" s="7">
        <v>5393785.7142857146</v>
      </c>
    </row>
    <row r="28" spans="1:2" x14ac:dyDescent="0.25">
      <c r="A28" s="2" t="s">
        <v>194</v>
      </c>
      <c r="B28" s="7">
        <v>5004900</v>
      </c>
    </row>
    <row r="29" spans="1:2" x14ac:dyDescent="0.25">
      <c r="A29" s="2" t="s">
        <v>195</v>
      </c>
      <c r="B29" s="7">
        <v>5000583.333333333</v>
      </c>
    </row>
    <row r="30" spans="1:2" x14ac:dyDescent="0.25">
      <c r="A30" s="2" t="s">
        <v>196</v>
      </c>
      <c r="B30" s="7">
        <v>5472763.6363636367</v>
      </c>
    </row>
    <row r="31" spans="1:2" x14ac:dyDescent="0.25">
      <c r="A31" s="2" t="s">
        <v>197</v>
      </c>
      <c r="B31" s="7">
        <v>5300033.333333333</v>
      </c>
    </row>
    <row r="32" spans="1:2" x14ac:dyDescent="0.25">
      <c r="A32" s="2" t="s">
        <v>198</v>
      </c>
      <c r="B32" s="7">
        <v>4066579.0909090908</v>
      </c>
    </row>
    <row r="33" spans="1:2" x14ac:dyDescent="0.25">
      <c r="A33" s="2" t="s">
        <v>199</v>
      </c>
      <c r="B33" s="7">
        <v>4958081.4285714282</v>
      </c>
    </row>
    <row r="34" spans="1:2" x14ac:dyDescent="0.25">
      <c r="A34" s="2" t="s">
        <v>200</v>
      </c>
      <c r="B34" s="7">
        <v>5248934.2</v>
      </c>
    </row>
    <row r="35" spans="1:2" x14ac:dyDescent="0.25">
      <c r="A35" s="2" t="s">
        <v>201</v>
      </c>
      <c r="B35" s="7">
        <v>4983324.25</v>
      </c>
    </row>
    <row r="36" spans="1:2" x14ac:dyDescent="0.25">
      <c r="A36" s="2" t="s">
        <v>202</v>
      </c>
      <c r="B36" s="7">
        <v>5037734</v>
      </c>
    </row>
    <row r="37" spans="1:2" x14ac:dyDescent="0.25">
      <c r="A37" s="2" t="s">
        <v>203</v>
      </c>
      <c r="B37" s="7">
        <v>4841189.5</v>
      </c>
    </row>
    <row r="38" spans="1:2" x14ac:dyDescent="0.25">
      <c r="A38" s="2" t="s">
        <v>204</v>
      </c>
      <c r="B38" s="7">
        <v>4722609.5</v>
      </c>
    </row>
    <row r="39" spans="1:2" x14ac:dyDescent="0.25">
      <c r="A39" s="2" t="s">
        <v>205</v>
      </c>
      <c r="B39" s="7">
        <v>4684527</v>
      </c>
    </row>
    <row r="40" spans="1:2" x14ac:dyDescent="0.25">
      <c r="A40" s="2" t="s">
        <v>206</v>
      </c>
      <c r="B40" s="7">
        <v>4534194.833333333</v>
      </c>
    </row>
    <row r="41" spans="1:2" x14ac:dyDescent="0.25">
      <c r="A41" s="2" t="s">
        <v>207</v>
      </c>
      <c r="B41" s="7">
        <v>4703726.125</v>
      </c>
    </row>
    <row r="42" spans="1:2" x14ac:dyDescent="0.25">
      <c r="A42" s="2" t="s">
        <v>208</v>
      </c>
      <c r="B42" s="7">
        <v>4782805.75</v>
      </c>
    </row>
    <row r="43" spans="1:2" x14ac:dyDescent="0.25">
      <c r="A43" s="2" t="s">
        <v>209</v>
      </c>
      <c r="B43" s="7">
        <v>4708868.2</v>
      </c>
    </row>
    <row r="44" spans="1:2" x14ac:dyDescent="0.25">
      <c r="A44" s="2" t="s">
        <v>210</v>
      </c>
      <c r="B44" s="7">
        <v>4707697.5</v>
      </c>
    </row>
    <row r="45" spans="1:2" x14ac:dyDescent="0.25">
      <c r="A45" s="2" t="s">
        <v>211</v>
      </c>
      <c r="B45" s="7">
        <v>4739363.2</v>
      </c>
    </row>
    <row r="46" spans="1:2" x14ac:dyDescent="0.25">
      <c r="A46" s="2" t="s">
        <v>212</v>
      </c>
      <c r="B46" s="7">
        <v>4647515</v>
      </c>
    </row>
    <row r="47" spans="1:2" x14ac:dyDescent="0.25">
      <c r="A47" s="2" t="s">
        <v>213</v>
      </c>
      <c r="B47" s="7">
        <v>4716555.8</v>
      </c>
    </row>
    <row r="48" spans="1:2" x14ac:dyDescent="0.25">
      <c r="A48" s="2" t="s">
        <v>214</v>
      </c>
      <c r="B48" s="7">
        <v>4725496.75</v>
      </c>
    </row>
    <row r="49" spans="1:2" x14ac:dyDescent="0.25">
      <c r="A49" s="2" t="s">
        <v>215</v>
      </c>
      <c r="B49" s="7">
        <v>4714750.4000000004</v>
      </c>
    </row>
    <row r="50" spans="1:2" x14ac:dyDescent="0.25">
      <c r="A50" s="2" t="s">
        <v>216</v>
      </c>
      <c r="B50" s="7">
        <v>4646023.9090909092</v>
      </c>
    </row>
    <row r="51" spans="1:2" x14ac:dyDescent="0.25">
      <c r="A51" s="2" t="s">
        <v>217</v>
      </c>
      <c r="B51" s="7">
        <v>4674193.333333333</v>
      </c>
    </row>
    <row r="52" spans="1:2" x14ac:dyDescent="0.25">
      <c r="A52" s="2" t="s">
        <v>218</v>
      </c>
      <c r="B52" s="7">
        <v>4647590.9000000004</v>
      </c>
    </row>
    <row r="53" spans="1:2" x14ac:dyDescent="0.25">
      <c r="A53" s="2" t="s">
        <v>219</v>
      </c>
      <c r="B53" s="7">
        <v>5293787.833333333</v>
      </c>
    </row>
    <row r="54" spans="1:2" x14ac:dyDescent="0.25">
      <c r="A54" s="2" t="s">
        <v>220</v>
      </c>
      <c r="B54" s="7">
        <v>4659644.5714285718</v>
      </c>
    </row>
    <row r="55" spans="1:2" x14ac:dyDescent="0.25">
      <c r="A55" s="2" t="s">
        <v>221</v>
      </c>
      <c r="B55" s="7">
        <v>4635018.5999999996</v>
      </c>
    </row>
    <row r="56" spans="1:2" x14ac:dyDescent="0.25">
      <c r="A56" s="2" t="s">
        <v>222</v>
      </c>
      <c r="B56" s="7">
        <v>4471408.8</v>
      </c>
    </row>
    <row r="57" spans="1:2" x14ac:dyDescent="0.25">
      <c r="A57" s="2" t="s">
        <v>156</v>
      </c>
      <c r="B57" s="7">
        <v>4551856.7272727275</v>
      </c>
    </row>
    <row r="58" spans="1:2" x14ac:dyDescent="0.25">
      <c r="A58" s="2" t="s">
        <v>157</v>
      </c>
      <c r="B58" s="7">
        <v>4508729.0999999996</v>
      </c>
    </row>
    <row r="59" spans="1:2" x14ac:dyDescent="0.25">
      <c r="A59" s="2" t="s">
        <v>158</v>
      </c>
      <c r="B59" s="7">
        <v>4526991.7</v>
      </c>
    </row>
    <row r="60" spans="1:2" x14ac:dyDescent="0.25">
      <c r="A60" s="2" t="s">
        <v>159</v>
      </c>
      <c r="B60" s="7">
        <v>4767425</v>
      </c>
    </row>
    <row r="61" spans="1:2" x14ac:dyDescent="0.25">
      <c r="A61" s="2" t="s">
        <v>160</v>
      </c>
      <c r="B61" s="7">
        <v>5247373</v>
      </c>
    </row>
    <row r="62" spans="1:2" x14ac:dyDescent="0.25">
      <c r="A62" s="2" t="s">
        <v>161</v>
      </c>
      <c r="B62" s="7">
        <v>4651278.6363636367</v>
      </c>
    </row>
    <row r="63" spans="1:2" x14ac:dyDescent="0.25">
      <c r="A63" s="2" t="s">
        <v>162</v>
      </c>
      <c r="B63" s="7">
        <v>4621699.461538462</v>
      </c>
    </row>
    <row r="64" spans="1:2" x14ac:dyDescent="0.25">
      <c r="A64" s="2" t="s">
        <v>163</v>
      </c>
      <c r="B64" s="7">
        <v>4866103</v>
      </c>
    </row>
    <row r="65" spans="1:2" x14ac:dyDescent="0.25">
      <c r="A65" s="2" t="s">
        <v>164</v>
      </c>
      <c r="B65" s="7">
        <v>4816472.153846154</v>
      </c>
    </row>
    <row r="66" spans="1:2" x14ac:dyDescent="0.25">
      <c r="A66" s="2" t="s">
        <v>165</v>
      </c>
      <c r="B66" s="7">
        <v>4740358.4666666668</v>
      </c>
    </row>
    <row r="67" spans="1:2" x14ac:dyDescent="0.25">
      <c r="A67" s="2" t="s">
        <v>166</v>
      </c>
      <c r="B67" s="7">
        <v>4800346.076923077</v>
      </c>
    </row>
    <row r="68" spans="1:2" x14ac:dyDescent="0.25">
      <c r="A68" s="2" t="s">
        <v>167</v>
      </c>
      <c r="B68" s="7">
        <v>4724407.333333333</v>
      </c>
    </row>
    <row r="69" spans="1:2" x14ac:dyDescent="0.25">
      <c r="A69" s="2" t="s">
        <v>168</v>
      </c>
      <c r="B69" s="7">
        <v>4690428.4000000004</v>
      </c>
    </row>
    <row r="70" spans="1:2" x14ac:dyDescent="0.25">
      <c r="A70" s="2" t="s">
        <v>169</v>
      </c>
      <c r="B70" s="7">
        <v>4580867.444444444</v>
      </c>
    </row>
    <row r="71" spans="1:2" x14ac:dyDescent="0.25">
      <c r="A71" s="2" t="s">
        <v>2</v>
      </c>
      <c r="B71" s="7">
        <v>4648709.444444444</v>
      </c>
    </row>
    <row r="72" spans="1:2" x14ac:dyDescent="0.25">
      <c r="A72" s="2" t="s">
        <v>3</v>
      </c>
      <c r="B72" s="7">
        <v>4570080.375</v>
      </c>
    </row>
    <row r="73" spans="1:2" x14ac:dyDescent="0.25">
      <c r="A73" s="2" t="s">
        <v>4</v>
      </c>
      <c r="B73" s="7">
        <v>6447325.8125</v>
      </c>
    </row>
    <row r="74" spans="1:2" x14ac:dyDescent="0.25">
      <c r="A74" s="2" t="s">
        <v>5</v>
      </c>
      <c r="B74" s="7">
        <v>4931917.4666666668</v>
      </c>
    </row>
    <row r="75" spans="1:2" x14ac:dyDescent="0.25">
      <c r="A75" s="2" t="s">
        <v>6</v>
      </c>
      <c r="B75" s="7">
        <v>4833085.166666667</v>
      </c>
    </row>
    <row r="76" spans="1:2" x14ac:dyDescent="0.25">
      <c r="A76" s="2" t="s">
        <v>7</v>
      </c>
      <c r="B76" s="7">
        <v>4469108.9375</v>
      </c>
    </row>
    <row r="77" spans="1:2" x14ac:dyDescent="0.25">
      <c r="A77" s="2" t="s">
        <v>45</v>
      </c>
      <c r="B77" s="7">
        <v>4523655.153846154</v>
      </c>
    </row>
    <row r="78" spans="1:2" x14ac:dyDescent="0.25">
      <c r="A78" s="2" t="s">
        <v>8</v>
      </c>
      <c r="B78" s="7">
        <v>5245271.0078431377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060B2-6AF9-40C7-B403-6CA72C692807}">
  <dimension ref="A3:E29"/>
  <sheetViews>
    <sheetView workbookViewId="0">
      <selection activeCell="C6" sqref="C6"/>
    </sheetView>
  </sheetViews>
  <sheetFormatPr defaultRowHeight="15" x14ac:dyDescent="0.25"/>
  <cols>
    <col min="1" max="1" width="13.42578125" bestFit="1" customWidth="1"/>
    <col min="2" max="2" width="25.140625" bestFit="1" customWidth="1"/>
    <col min="3" max="3" width="30" bestFit="1" customWidth="1"/>
    <col min="4" max="4" width="31.5703125" bestFit="1" customWidth="1"/>
    <col min="5" max="5" width="31" bestFit="1" customWidth="1"/>
  </cols>
  <sheetData>
    <row r="3" spans="1:5" x14ac:dyDescent="0.25">
      <c r="A3" s="1" t="s">
        <v>9</v>
      </c>
      <c r="B3" t="s">
        <v>224</v>
      </c>
      <c r="C3" t="s">
        <v>225</v>
      </c>
      <c r="D3" t="s">
        <v>226</v>
      </c>
      <c r="E3" t="s">
        <v>227</v>
      </c>
    </row>
    <row r="4" spans="1:5" x14ac:dyDescent="0.25">
      <c r="A4" s="2" t="s">
        <v>219</v>
      </c>
      <c r="B4" s="5">
        <v>0.58981233243967823</v>
      </c>
      <c r="C4">
        <v>0.8</v>
      </c>
      <c r="D4">
        <v>-1</v>
      </c>
      <c r="E4">
        <v>1</v>
      </c>
    </row>
    <row r="5" spans="1:5" x14ac:dyDescent="0.25">
      <c r="A5" s="2" t="s">
        <v>220</v>
      </c>
      <c r="B5" s="5">
        <v>0.5802139037433155</v>
      </c>
      <c r="C5">
        <v>0.8</v>
      </c>
      <c r="D5">
        <v>-1</v>
      </c>
      <c r="E5">
        <v>-1</v>
      </c>
    </row>
    <row r="6" spans="1:5" x14ac:dyDescent="0.25">
      <c r="A6" s="2" t="s">
        <v>221</v>
      </c>
      <c r="B6" s="5">
        <v>0.55524861878453047</v>
      </c>
      <c r="C6">
        <v>0.8</v>
      </c>
      <c r="D6">
        <v>-1</v>
      </c>
      <c r="E6">
        <v>-1</v>
      </c>
    </row>
    <row r="7" spans="1:5" x14ac:dyDescent="0.25">
      <c r="A7" s="2" t="s">
        <v>222</v>
      </c>
      <c r="B7" s="5">
        <v>0.65312499999999996</v>
      </c>
      <c r="C7">
        <v>0.8</v>
      </c>
      <c r="D7">
        <v>-1</v>
      </c>
      <c r="E7">
        <v>1</v>
      </c>
    </row>
    <row r="8" spans="1:5" x14ac:dyDescent="0.25">
      <c r="A8" s="2" t="s">
        <v>156</v>
      </c>
      <c r="B8" s="5">
        <v>0.71944444444444444</v>
      </c>
      <c r="C8">
        <v>0.8</v>
      </c>
      <c r="D8">
        <v>-1</v>
      </c>
      <c r="E8">
        <v>1</v>
      </c>
    </row>
    <row r="9" spans="1:5" x14ac:dyDescent="0.25">
      <c r="A9" s="2" t="s">
        <v>157</v>
      </c>
      <c r="B9" s="5">
        <v>0.7393617021276595</v>
      </c>
      <c r="C9">
        <v>0.8</v>
      </c>
      <c r="D9">
        <v>0</v>
      </c>
      <c r="E9">
        <v>1</v>
      </c>
    </row>
    <row r="10" spans="1:5" x14ac:dyDescent="0.25">
      <c r="A10" s="2" t="s">
        <v>158</v>
      </c>
      <c r="B10" s="5">
        <v>0.67929292929292928</v>
      </c>
      <c r="C10">
        <v>0.8</v>
      </c>
      <c r="D10">
        <v>-1</v>
      </c>
      <c r="E10">
        <v>-1</v>
      </c>
    </row>
    <row r="11" spans="1:5" x14ac:dyDescent="0.25">
      <c r="A11" s="2" t="s">
        <v>159</v>
      </c>
      <c r="B11" s="5">
        <v>0.73262032085561501</v>
      </c>
      <c r="C11">
        <v>0.8</v>
      </c>
      <c r="D11">
        <v>0</v>
      </c>
      <c r="E11">
        <v>1</v>
      </c>
    </row>
    <row r="12" spans="1:5" x14ac:dyDescent="0.25">
      <c r="A12" s="2" t="s">
        <v>160</v>
      </c>
      <c r="B12" s="5">
        <v>0.76358695652173914</v>
      </c>
      <c r="C12">
        <v>0.8</v>
      </c>
      <c r="D12">
        <v>0</v>
      </c>
      <c r="E12">
        <v>1</v>
      </c>
    </row>
    <row r="13" spans="1:5" x14ac:dyDescent="0.25">
      <c r="A13" s="2" t="s">
        <v>161</v>
      </c>
      <c r="B13" s="5">
        <v>0.80294117647058827</v>
      </c>
      <c r="C13">
        <v>0.8</v>
      </c>
      <c r="D13">
        <v>1</v>
      </c>
      <c r="E13">
        <v>1</v>
      </c>
    </row>
    <row r="14" spans="1:5" x14ac:dyDescent="0.25">
      <c r="A14" s="2" t="s">
        <v>162</v>
      </c>
      <c r="B14" s="5">
        <v>0.74780701754385959</v>
      </c>
      <c r="C14">
        <v>0.8</v>
      </c>
      <c r="D14">
        <v>0</v>
      </c>
      <c r="E14">
        <v>-1</v>
      </c>
    </row>
    <row r="15" spans="1:5" x14ac:dyDescent="0.25">
      <c r="A15" s="2" t="s">
        <v>163</v>
      </c>
      <c r="B15" s="5">
        <v>0.83114035087719296</v>
      </c>
      <c r="C15">
        <v>0.8</v>
      </c>
      <c r="D15">
        <v>1</v>
      </c>
      <c r="E15">
        <v>1</v>
      </c>
    </row>
    <row r="16" spans="1:5" x14ac:dyDescent="0.25">
      <c r="A16" s="2" t="s">
        <v>164</v>
      </c>
      <c r="B16" s="5">
        <v>0.82291666666666663</v>
      </c>
      <c r="C16">
        <v>0.8</v>
      </c>
      <c r="D16">
        <v>1</v>
      </c>
      <c r="E16">
        <v>-1</v>
      </c>
    </row>
    <row r="17" spans="1:5" x14ac:dyDescent="0.25">
      <c r="A17" s="2" t="s">
        <v>165</v>
      </c>
      <c r="B17" s="5">
        <v>0.85406698564593297</v>
      </c>
      <c r="C17">
        <v>0.8</v>
      </c>
      <c r="D17">
        <v>1</v>
      </c>
      <c r="E17">
        <v>1</v>
      </c>
    </row>
    <row r="18" spans="1:5" x14ac:dyDescent="0.25">
      <c r="A18" s="2" t="s">
        <v>166</v>
      </c>
      <c r="B18" s="5">
        <v>0.80835380835380832</v>
      </c>
      <c r="C18">
        <v>0.8</v>
      </c>
      <c r="D18">
        <v>1</v>
      </c>
      <c r="E18">
        <v>-1</v>
      </c>
    </row>
    <row r="19" spans="1:5" x14ac:dyDescent="0.25">
      <c r="A19" s="2" t="s">
        <v>167</v>
      </c>
      <c r="B19" s="5">
        <v>0.81746031746031744</v>
      </c>
      <c r="C19">
        <v>0.8</v>
      </c>
      <c r="D19">
        <v>1</v>
      </c>
      <c r="E19">
        <v>1</v>
      </c>
    </row>
    <row r="20" spans="1:5" x14ac:dyDescent="0.25">
      <c r="A20" s="2" t="s">
        <v>168</v>
      </c>
      <c r="B20" s="5">
        <v>0.83982683982683981</v>
      </c>
      <c r="C20">
        <v>0.8</v>
      </c>
      <c r="D20">
        <v>1</v>
      </c>
      <c r="E20">
        <v>1</v>
      </c>
    </row>
    <row r="21" spans="1:5" x14ac:dyDescent="0.25">
      <c r="A21" s="2" t="s">
        <v>169</v>
      </c>
      <c r="B21" s="5">
        <v>0.76249999999999996</v>
      </c>
      <c r="C21">
        <v>0.8</v>
      </c>
      <c r="D21">
        <v>0</v>
      </c>
      <c r="E21">
        <v>-1</v>
      </c>
    </row>
    <row r="22" spans="1:5" x14ac:dyDescent="0.25">
      <c r="A22" s="2" t="s">
        <v>2</v>
      </c>
      <c r="B22" s="5">
        <v>0.80238095238095242</v>
      </c>
      <c r="C22">
        <v>0.8</v>
      </c>
      <c r="D22">
        <v>1</v>
      </c>
      <c r="E22">
        <v>1</v>
      </c>
    </row>
    <row r="23" spans="1:5" x14ac:dyDescent="0.25">
      <c r="A23" s="2" t="s">
        <v>3</v>
      </c>
      <c r="B23" s="5">
        <v>0.86190476190476195</v>
      </c>
      <c r="C23">
        <v>0.8</v>
      </c>
      <c r="D23">
        <v>1</v>
      </c>
      <c r="E23">
        <v>1</v>
      </c>
    </row>
    <row r="24" spans="1:5" x14ac:dyDescent="0.25">
      <c r="A24" s="2" t="s">
        <v>4</v>
      </c>
      <c r="B24" s="5">
        <v>0.83529411764705885</v>
      </c>
      <c r="C24">
        <v>0.8</v>
      </c>
      <c r="D24">
        <v>1</v>
      </c>
      <c r="E24">
        <v>-1</v>
      </c>
    </row>
    <row r="25" spans="1:5" x14ac:dyDescent="0.25">
      <c r="A25" s="2" t="s">
        <v>5</v>
      </c>
      <c r="B25" s="5">
        <v>0.8727272727272728</v>
      </c>
      <c r="C25">
        <v>0.8</v>
      </c>
      <c r="D25">
        <v>1</v>
      </c>
      <c r="E25">
        <v>1</v>
      </c>
    </row>
    <row r="26" spans="1:5" x14ac:dyDescent="0.25">
      <c r="A26" s="2" t="s">
        <v>6</v>
      </c>
      <c r="B26" s="5">
        <v>0.83181818181818179</v>
      </c>
      <c r="C26">
        <v>0.8</v>
      </c>
      <c r="D26">
        <v>1</v>
      </c>
      <c r="E26">
        <v>-1</v>
      </c>
    </row>
    <row r="27" spans="1:5" x14ac:dyDescent="0.25">
      <c r="A27" s="2" t="s">
        <v>7</v>
      </c>
      <c r="B27" s="5">
        <v>0.85681818181818181</v>
      </c>
      <c r="C27">
        <v>0.8</v>
      </c>
      <c r="D27">
        <v>1</v>
      </c>
      <c r="E27">
        <v>1</v>
      </c>
    </row>
    <row r="28" spans="1:5" x14ac:dyDescent="0.25">
      <c r="A28" s="2" t="s">
        <v>45</v>
      </c>
      <c r="B28" s="5">
        <v>0.90605427974947805</v>
      </c>
      <c r="C28">
        <v>0.8</v>
      </c>
      <c r="D28">
        <v>1</v>
      </c>
      <c r="E28">
        <v>1</v>
      </c>
    </row>
    <row r="29" spans="1:5" x14ac:dyDescent="0.25">
      <c r="A29" s="2" t="s">
        <v>8</v>
      </c>
      <c r="B29" s="5">
        <v>0.77666435162218472</v>
      </c>
      <c r="C29">
        <v>0.8</v>
      </c>
      <c r="D29">
        <v>0</v>
      </c>
      <c r="E29">
        <v>0</v>
      </c>
    </row>
  </sheetData>
  <conditionalFormatting pivot="1" sqref="D4:D29">
    <cfRule type="iconSet" priority="2">
      <iconSet iconSet="5Quarters" showValue="0">
        <cfvo type="num" val="-1"/>
        <cfvo type="num" val="-0.5"/>
        <cfvo type="num" val="-0.01"/>
        <cfvo type="num" val="0.01"/>
        <cfvo type="num" val="0.5"/>
      </iconSet>
    </cfRule>
  </conditionalFormatting>
  <conditionalFormatting pivot="1" sqref="E4:E29">
    <cfRule type="iconSet" priority="1">
      <iconSet iconSet="5ArrowsGray" showValue="0">
        <cfvo type="num" val="-1"/>
        <cfvo type="num" val="-0.5"/>
        <cfvo type="num" val="-0.01"/>
        <cfvo type="num" val="0.01"/>
        <cfvo type="num" val="0.5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5A7-A0E8-4448-9050-48709B63BD6A}">
  <dimension ref="A1:E33"/>
  <sheetViews>
    <sheetView workbookViewId="0">
      <selection activeCell="L32" sqref="L32"/>
    </sheetView>
  </sheetViews>
  <sheetFormatPr defaultRowHeight="15" x14ac:dyDescent="0.25"/>
  <cols>
    <col min="1" max="1" width="13.42578125" bestFit="1" customWidth="1"/>
    <col min="2" max="2" width="25.140625" bestFit="1" customWidth="1"/>
    <col min="3" max="3" width="30" bestFit="1" customWidth="1"/>
    <col min="4" max="4" width="31.5703125" bestFit="1" customWidth="1"/>
    <col min="5" max="5" width="31" bestFit="1" customWidth="1"/>
  </cols>
  <sheetData>
    <row r="1" spans="1:5" x14ac:dyDescent="0.25">
      <c r="A1" s="1" t="s">
        <v>12</v>
      </c>
      <c r="B1" t="s" vm="13">
        <v>13</v>
      </c>
    </row>
    <row r="3" spans="1:5" x14ac:dyDescent="0.25">
      <c r="A3" s="1" t="s">
        <v>9</v>
      </c>
      <c r="B3" t="s">
        <v>224</v>
      </c>
      <c r="C3" t="s">
        <v>225</v>
      </c>
      <c r="D3" t="s">
        <v>226</v>
      </c>
      <c r="E3" t="s">
        <v>227</v>
      </c>
    </row>
    <row r="4" spans="1:5" x14ac:dyDescent="0.25">
      <c r="A4" s="2" t="s">
        <v>219</v>
      </c>
      <c r="B4" s="5">
        <v>0.58981233243967823</v>
      </c>
      <c r="C4">
        <v>0.8</v>
      </c>
      <c r="D4">
        <v>-1</v>
      </c>
      <c r="E4">
        <v>1</v>
      </c>
    </row>
    <row r="5" spans="1:5" x14ac:dyDescent="0.25">
      <c r="A5" s="2" t="s">
        <v>220</v>
      </c>
      <c r="B5" s="5">
        <v>0.5802139037433155</v>
      </c>
      <c r="C5">
        <v>0.8</v>
      </c>
      <c r="D5">
        <v>-1</v>
      </c>
      <c r="E5">
        <v>-1</v>
      </c>
    </row>
    <row r="6" spans="1:5" x14ac:dyDescent="0.25">
      <c r="A6" s="2" t="s">
        <v>221</v>
      </c>
      <c r="B6" s="5">
        <v>0.55524861878453047</v>
      </c>
      <c r="C6">
        <v>0.8</v>
      </c>
      <c r="D6">
        <v>-1</v>
      </c>
      <c r="E6">
        <v>-1</v>
      </c>
    </row>
    <row r="7" spans="1:5" x14ac:dyDescent="0.25">
      <c r="A7" s="2" t="s">
        <v>222</v>
      </c>
      <c r="B7" s="5">
        <v>0.65312499999999996</v>
      </c>
      <c r="C7">
        <v>0.8</v>
      </c>
      <c r="D7">
        <v>-1</v>
      </c>
      <c r="E7">
        <v>1</v>
      </c>
    </row>
    <row r="8" spans="1:5" x14ac:dyDescent="0.25">
      <c r="A8" s="2" t="s">
        <v>156</v>
      </c>
      <c r="B8" s="5">
        <v>0.71944444444444444</v>
      </c>
      <c r="C8">
        <v>0.8</v>
      </c>
      <c r="D8">
        <v>-1</v>
      </c>
      <c r="E8">
        <v>1</v>
      </c>
    </row>
    <row r="9" spans="1:5" x14ac:dyDescent="0.25">
      <c r="A9" s="2" t="s">
        <v>157</v>
      </c>
      <c r="B9" s="5">
        <v>0.7393617021276595</v>
      </c>
      <c r="C9">
        <v>0.8</v>
      </c>
      <c r="D9">
        <v>0</v>
      </c>
      <c r="E9">
        <v>1</v>
      </c>
    </row>
    <row r="10" spans="1:5" x14ac:dyDescent="0.25">
      <c r="A10" s="2" t="s">
        <v>158</v>
      </c>
      <c r="B10" s="5">
        <v>0.67929292929292928</v>
      </c>
      <c r="C10">
        <v>0.8</v>
      </c>
      <c r="D10">
        <v>-1</v>
      </c>
      <c r="E10">
        <v>-1</v>
      </c>
    </row>
    <row r="11" spans="1:5" x14ac:dyDescent="0.25">
      <c r="A11" s="2" t="s">
        <v>159</v>
      </c>
      <c r="B11" s="5">
        <v>0.73262032085561501</v>
      </c>
      <c r="C11">
        <v>0.8</v>
      </c>
      <c r="D11">
        <v>0</v>
      </c>
      <c r="E11">
        <v>1</v>
      </c>
    </row>
    <row r="12" spans="1:5" x14ac:dyDescent="0.25">
      <c r="A12" s="2" t="s">
        <v>160</v>
      </c>
      <c r="B12" s="5">
        <v>0.76358695652173914</v>
      </c>
      <c r="C12">
        <v>0.8</v>
      </c>
      <c r="D12">
        <v>0</v>
      </c>
      <c r="E12">
        <v>1</v>
      </c>
    </row>
    <row r="13" spans="1:5" x14ac:dyDescent="0.25">
      <c r="A13" s="2" t="s">
        <v>161</v>
      </c>
      <c r="B13" s="5">
        <v>0.80294117647058827</v>
      </c>
      <c r="C13">
        <v>0.8</v>
      </c>
      <c r="D13">
        <v>1</v>
      </c>
      <c r="E13">
        <v>1</v>
      </c>
    </row>
    <row r="14" spans="1:5" x14ac:dyDescent="0.25">
      <c r="A14" s="2" t="s">
        <v>162</v>
      </c>
      <c r="B14" s="5">
        <v>0.74780701754385959</v>
      </c>
      <c r="C14">
        <v>0.8</v>
      </c>
      <c r="D14">
        <v>0</v>
      </c>
      <c r="E14">
        <v>-1</v>
      </c>
    </row>
    <row r="15" spans="1:5" x14ac:dyDescent="0.25">
      <c r="A15" s="2" t="s">
        <v>163</v>
      </c>
      <c r="B15" s="5">
        <v>0.83114035087719296</v>
      </c>
      <c r="C15">
        <v>0.8</v>
      </c>
      <c r="D15">
        <v>1</v>
      </c>
      <c r="E15">
        <v>1</v>
      </c>
    </row>
    <row r="16" spans="1:5" x14ac:dyDescent="0.25">
      <c r="A16" s="2" t="s">
        <v>164</v>
      </c>
      <c r="B16" s="5">
        <v>0.82291666666666663</v>
      </c>
      <c r="C16">
        <v>0.8</v>
      </c>
      <c r="D16">
        <v>1</v>
      </c>
      <c r="E16">
        <v>-1</v>
      </c>
    </row>
    <row r="17" spans="1:5" x14ac:dyDescent="0.25">
      <c r="A17" s="2" t="s">
        <v>165</v>
      </c>
      <c r="B17" s="5">
        <v>0.85406698564593297</v>
      </c>
      <c r="C17">
        <v>0.8</v>
      </c>
      <c r="D17">
        <v>1</v>
      </c>
      <c r="E17">
        <v>1</v>
      </c>
    </row>
    <row r="18" spans="1:5" x14ac:dyDescent="0.25">
      <c r="A18" s="2" t="s">
        <v>166</v>
      </c>
      <c r="B18" s="5">
        <v>0.80835380835380832</v>
      </c>
      <c r="C18">
        <v>0.8</v>
      </c>
      <c r="D18">
        <v>1</v>
      </c>
      <c r="E18">
        <v>-1</v>
      </c>
    </row>
    <row r="19" spans="1:5" x14ac:dyDescent="0.25">
      <c r="A19" s="2" t="s">
        <v>167</v>
      </c>
      <c r="B19" s="5">
        <v>0.81746031746031744</v>
      </c>
      <c r="C19">
        <v>0.8</v>
      </c>
      <c r="D19">
        <v>1</v>
      </c>
      <c r="E19">
        <v>1</v>
      </c>
    </row>
    <row r="20" spans="1:5" x14ac:dyDescent="0.25">
      <c r="A20" s="2" t="s">
        <v>168</v>
      </c>
      <c r="B20" s="5">
        <v>0.83982683982683981</v>
      </c>
      <c r="C20">
        <v>0.8</v>
      </c>
      <c r="D20">
        <v>1</v>
      </c>
      <c r="E20">
        <v>1</v>
      </c>
    </row>
    <row r="21" spans="1:5" x14ac:dyDescent="0.25">
      <c r="A21" s="2" t="s">
        <v>169</v>
      </c>
    </row>
    <row r="22" spans="1:5" x14ac:dyDescent="0.25">
      <c r="A22" s="3" t="s">
        <v>47</v>
      </c>
      <c r="B22" s="5">
        <v>0.65</v>
      </c>
      <c r="C22">
        <v>0.8</v>
      </c>
      <c r="D22">
        <v>-1</v>
      </c>
      <c r="E22">
        <v>-1</v>
      </c>
    </row>
    <row r="23" spans="1:5" x14ac:dyDescent="0.25">
      <c r="A23" s="3" t="s">
        <v>48</v>
      </c>
      <c r="B23" s="5">
        <v>0.72142857142857142</v>
      </c>
      <c r="C23">
        <v>0.8</v>
      </c>
      <c r="D23">
        <v>0</v>
      </c>
      <c r="E23">
        <v>-1</v>
      </c>
    </row>
    <row r="24" spans="1:5" x14ac:dyDescent="0.25">
      <c r="A24" s="3" t="s">
        <v>49</v>
      </c>
      <c r="B24" s="5">
        <v>0.77500000000000002</v>
      </c>
      <c r="C24">
        <v>0.8</v>
      </c>
      <c r="D24">
        <v>0</v>
      </c>
      <c r="E24">
        <v>-1</v>
      </c>
    </row>
    <row r="25" spans="1:5" x14ac:dyDescent="0.25">
      <c r="A25" s="3" t="s">
        <v>50</v>
      </c>
      <c r="B25" s="5">
        <v>0.81666666666666665</v>
      </c>
      <c r="C25">
        <v>0.8</v>
      </c>
      <c r="D25">
        <v>1</v>
      </c>
      <c r="E25">
        <v>-1</v>
      </c>
    </row>
    <row r="26" spans="1:5" x14ac:dyDescent="0.25">
      <c r="A26" s="2" t="s">
        <v>2</v>
      </c>
      <c r="B26" s="5">
        <v>0.80238095238095242</v>
      </c>
      <c r="C26">
        <v>0.8</v>
      </c>
      <c r="D26">
        <v>1</v>
      </c>
      <c r="E26">
        <v>1</v>
      </c>
    </row>
    <row r="27" spans="1:5" x14ac:dyDescent="0.25">
      <c r="A27" s="2" t="s">
        <v>3</v>
      </c>
      <c r="B27" s="5">
        <v>0.86190476190476195</v>
      </c>
      <c r="C27">
        <v>0.8</v>
      </c>
      <c r="D27">
        <v>1</v>
      </c>
      <c r="E27">
        <v>1</v>
      </c>
    </row>
    <row r="28" spans="1:5" x14ac:dyDescent="0.25">
      <c r="A28" s="2" t="s">
        <v>4</v>
      </c>
      <c r="B28" s="5">
        <v>0.83529411764705885</v>
      </c>
      <c r="C28">
        <v>0.8</v>
      </c>
      <c r="D28">
        <v>1</v>
      </c>
      <c r="E28">
        <v>-1</v>
      </c>
    </row>
    <row r="29" spans="1:5" x14ac:dyDescent="0.25">
      <c r="A29" s="2" t="s">
        <v>5</v>
      </c>
      <c r="B29" s="5">
        <v>0.8727272727272728</v>
      </c>
      <c r="C29">
        <v>0.8</v>
      </c>
      <c r="D29">
        <v>1</v>
      </c>
      <c r="E29">
        <v>1</v>
      </c>
    </row>
    <row r="30" spans="1:5" x14ac:dyDescent="0.25">
      <c r="A30" s="2" t="s">
        <v>6</v>
      </c>
      <c r="B30" s="5">
        <v>0.83181818181818179</v>
      </c>
      <c r="C30">
        <v>0.8</v>
      </c>
      <c r="D30">
        <v>1</v>
      </c>
      <c r="E30">
        <v>-1</v>
      </c>
    </row>
    <row r="31" spans="1:5" x14ac:dyDescent="0.25">
      <c r="A31" s="2" t="s">
        <v>7</v>
      </c>
      <c r="B31" s="5">
        <v>0.85681818181818181</v>
      </c>
      <c r="C31">
        <v>0.8</v>
      </c>
      <c r="D31">
        <v>1</v>
      </c>
      <c r="E31">
        <v>1</v>
      </c>
    </row>
    <row r="32" spans="1:5" x14ac:dyDescent="0.25">
      <c r="A32" s="2" t="s">
        <v>45</v>
      </c>
      <c r="B32" s="5">
        <v>0.90605427974947805</v>
      </c>
      <c r="C32">
        <v>0.8</v>
      </c>
      <c r="D32">
        <v>1</v>
      </c>
      <c r="E32">
        <v>1</v>
      </c>
    </row>
    <row r="33" spans="1:5" x14ac:dyDescent="0.25">
      <c r="A33" s="2" t="s">
        <v>8</v>
      </c>
      <c r="B33" s="5">
        <v>0.77666435162218472</v>
      </c>
      <c r="C33">
        <v>0.8</v>
      </c>
      <c r="D33">
        <v>0</v>
      </c>
      <c r="E33">
        <v>0</v>
      </c>
    </row>
  </sheetData>
  <conditionalFormatting pivot="1" sqref="D4:D33">
    <cfRule type="iconSet" priority="2">
      <iconSet iconSet="3Signs" showValue="0">
        <cfvo type="num" val="-1"/>
        <cfvo type="num" val="-0.5"/>
        <cfvo type="num" val="0.5"/>
      </iconSet>
    </cfRule>
  </conditionalFormatting>
  <conditionalFormatting pivot="1" sqref="E4:E33">
    <cfRule type="iconSet" priority="1">
      <iconSet iconSet="5Arrows" showValue="0">
        <cfvo type="num" val="-1"/>
        <cfvo type="num" val="-0.5"/>
        <cfvo type="num" val="-0.01"/>
        <cfvo type="num" val="0.01"/>
        <cfvo type="num" val="0.5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7FD18-0A42-43CC-AC63-C9109E20031B}">
  <dimension ref="A1:B8"/>
  <sheetViews>
    <sheetView tabSelected="1" zoomScale="130" zoomScaleNormal="130" workbookViewId="0">
      <selection activeCell="A3" sqref="A3"/>
    </sheetView>
  </sheetViews>
  <sheetFormatPr defaultRowHeight="15" x14ac:dyDescent="0.25"/>
  <cols>
    <col min="1" max="1" width="23.42578125" bestFit="1" customWidth="1"/>
    <col min="2" max="2" width="17.28515625" bestFit="1" customWidth="1"/>
    <col min="3" max="3" width="13.7109375" bestFit="1" customWidth="1"/>
    <col min="4" max="4" width="19.85546875" bestFit="1" customWidth="1"/>
    <col min="5" max="5" width="23.7109375" bestFit="1" customWidth="1"/>
    <col min="6" max="6" width="16.140625" bestFit="1" customWidth="1"/>
    <col min="7" max="7" width="21.140625" bestFit="1" customWidth="1"/>
    <col min="8" max="8" width="11.28515625" bestFit="1" customWidth="1"/>
  </cols>
  <sheetData>
    <row r="1" spans="1:2" x14ac:dyDescent="0.25">
      <c r="A1" s="1" t="s">
        <v>9</v>
      </c>
      <c r="B1" t="s">
        <v>149</v>
      </c>
    </row>
    <row r="2" spans="1:2" x14ac:dyDescent="0.25">
      <c r="A2" s="2" t="s">
        <v>228</v>
      </c>
      <c r="B2" s="8">
        <v>2781</v>
      </c>
    </row>
    <row r="3" spans="1:2" x14ac:dyDescent="0.25">
      <c r="A3" s="2" t="s">
        <v>229</v>
      </c>
      <c r="B3" s="8">
        <v>65</v>
      </c>
    </row>
    <row r="4" spans="1:2" x14ac:dyDescent="0.25">
      <c r="A4" s="2" t="s">
        <v>148</v>
      </c>
      <c r="B4" s="8">
        <v>6696</v>
      </c>
    </row>
    <row r="5" spans="1:2" x14ac:dyDescent="0.25">
      <c r="A5" s="2" t="s">
        <v>230</v>
      </c>
      <c r="B5" s="8">
        <v>1356</v>
      </c>
    </row>
    <row r="6" spans="1:2" x14ac:dyDescent="0.25">
      <c r="A6" s="2" t="s">
        <v>231</v>
      </c>
      <c r="B6" s="8">
        <v>15441</v>
      </c>
    </row>
    <row r="7" spans="1:2" x14ac:dyDescent="0.25">
      <c r="A7" s="2" t="s">
        <v>232</v>
      </c>
      <c r="B7" s="8">
        <v>417</v>
      </c>
    </row>
    <row r="8" spans="1:2" x14ac:dyDescent="0.25">
      <c r="A8" s="2" t="s">
        <v>8</v>
      </c>
      <c r="B8" s="8">
        <v>26756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3A0D81-890A-4248-9872-C9A12F27D8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RainVsPitStops</vt:lpstr>
      <vt:lpstr>Average Absolute Position Order</vt:lpstr>
      <vt:lpstr>Top 5 constructors by avgpoints</vt:lpstr>
      <vt:lpstr>Win Percentage over the years </vt:lpstr>
      <vt:lpstr>Average Finish Position by Grid</vt:lpstr>
      <vt:lpstr>Finish Percentages by Weather</vt:lpstr>
      <vt:lpstr>AgeGroup</vt:lpstr>
      <vt:lpstr>Top 10 reasons for Mechanical</vt:lpstr>
      <vt:lpstr>Podium from in or out weather</vt:lpstr>
      <vt:lpstr>Average Race Time in Autodromo </vt:lpstr>
      <vt:lpstr>KPI</vt:lpstr>
      <vt:lpstr>KPI Colors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Mikołaj Kubś (272662)</dc:creator>
  <cp:lastModifiedBy>Mikołaj Kubś (272662)</cp:lastModifiedBy>
  <dcterms:modified xsi:type="dcterms:W3CDTF">2025-06-02T12:06:04Z</dcterms:modified>
</cp:coreProperties>
</file>